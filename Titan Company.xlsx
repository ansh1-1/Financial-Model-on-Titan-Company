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BITS PILANI\Financial Model-BITS\"/>
    </mc:Choice>
  </mc:AlternateContent>
  <xr:revisionPtr revIDLastSave="0" documentId="13_ncr:1_{E1E3EC33-9136-4301-A21C-FB51277146DC}" xr6:coauthVersionLast="47" xr6:coauthVersionMax="47" xr10:uidLastSave="{00000000-0000-0000-0000-000000000000}"/>
  <bookViews>
    <workbookView xWindow="-108" yWindow="-108" windowWidth="23256" windowHeight="12456" tabRatio="995" xr2:uid="{00000000-000D-0000-FFFF-FFFF00000000}"/>
  </bookViews>
  <sheets>
    <sheet name="Profit &amp; Loss" sheetId="1" r:id="rId1"/>
    <sheet name="Quarters" sheetId="3" r:id="rId2"/>
    <sheet name="Titan Beta Regression" sheetId="20" r:id="rId3"/>
    <sheet name="Bluestone Jewel Regression" sheetId="31" r:id="rId4"/>
    <sheet name="Kalyan J Regression" sheetId="23" r:id="rId5"/>
    <sheet name="Thangamayil J Regression" sheetId="25" r:id="rId6"/>
    <sheet name="P N Gadgil J Regression" sheetId="24" r:id="rId7"/>
    <sheet name="PC Jeweller Regression" sheetId="26" r:id="rId8"/>
    <sheet name="Rm" sheetId="22" r:id="rId9"/>
    <sheet name="Beta - Comps" sheetId="21" r:id="rId10"/>
    <sheet name="Financials&gt;" sheetId="7" r:id="rId11"/>
    <sheet name="HistoricalFS" sheetId="8" r:id="rId12"/>
    <sheet name="Ratio Analysis" sheetId="10" r:id="rId13"/>
    <sheet name="Peer Analysis" sheetId="12" r:id="rId14"/>
    <sheet name="Forecasting" sheetId="11" r:id="rId15"/>
    <sheet name="Comps_Val" sheetId="29" r:id="rId16"/>
    <sheet name="Comps_Data" sheetId="30" r:id="rId17"/>
    <sheet name="Common Size Statement" sheetId="13" r:id="rId18"/>
    <sheet name="DCF&gt;" sheetId="17" r:id="rId19"/>
    <sheet name="DCF" sheetId="28" r:id="rId20"/>
    <sheet name="Intrinsic Growth" sheetId="15" r:id="rId21"/>
    <sheet name="WACC" sheetId="18" r:id="rId22"/>
    <sheet name="Raw FS" sheetId="14" r:id="rId23"/>
    <sheet name="Balance Sheet" sheetId="2" r:id="rId24"/>
    <sheet name="Cash Flow" sheetId="4" state="hidden" r:id="rId25"/>
    <sheet name="Data&gt;" sheetId="9" r:id="rId26"/>
    <sheet name="Data Sheet" sheetId="6" r:id="rId27"/>
  </sheets>
  <definedNames>
    <definedName name="_xlnm._FilterDatabase" localSheetId="3" hidden="1">'Bluestone Jewel Regression'!$R$6:$S$16</definedName>
    <definedName name="_xlnm._FilterDatabase" localSheetId="4" hidden="1">'Kalyan J Regression'!#REF!</definedName>
    <definedName name="_xlnm._FilterDatabase" localSheetId="6" hidden="1">'P N Gadgil J Regression'!$V$4:$W$25</definedName>
    <definedName name="_xlnm._FilterDatabase" localSheetId="7" hidden="1">'PC Jeweller Regression'!$V$5:$W$67</definedName>
    <definedName name="_xlnm._FilterDatabase" localSheetId="5" hidden="1">'Thangamayil J Regression'!$V$5:$W$75</definedName>
    <definedName name="_xlnm._FilterDatabase" localSheetId="2" hidden="1">'Titan Beta Regression'!$V$2:$W$63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9" i="8" l="1"/>
  <c r="K9" i="29"/>
  <c r="L9" i="29"/>
  <c r="M9" i="29"/>
  <c r="K10" i="29"/>
  <c r="L10" i="29"/>
  <c r="M10" i="29"/>
  <c r="K11" i="29"/>
  <c r="L11" i="29"/>
  <c r="M11" i="29"/>
  <c r="K12" i="29"/>
  <c r="L12" i="29"/>
  <c r="M12" i="29"/>
  <c r="K13" i="29"/>
  <c r="L13" i="29"/>
  <c r="M13" i="29"/>
  <c r="K14" i="29"/>
  <c r="L14" i="29"/>
  <c r="M14" i="29"/>
  <c r="K15" i="29"/>
  <c r="L15" i="29"/>
  <c r="M15" i="29"/>
  <c r="K16" i="29"/>
  <c r="L16" i="29"/>
  <c r="M16" i="29"/>
  <c r="K17" i="29"/>
  <c r="L17" i="29"/>
  <c r="M17" i="29"/>
  <c r="L8" i="29"/>
  <c r="M8" i="29"/>
  <c r="K8" i="29"/>
  <c r="G9" i="29"/>
  <c r="G10" i="29"/>
  <c r="I5" i="30"/>
  <c r="I6" i="30"/>
  <c r="I7" i="30"/>
  <c r="G11" i="29" s="1"/>
  <c r="I8" i="30"/>
  <c r="G12" i="29" s="1"/>
  <c r="I9" i="30"/>
  <c r="G13" i="29" s="1"/>
  <c r="I10" i="30"/>
  <c r="G14" i="29" s="1"/>
  <c r="I11" i="30"/>
  <c r="G15" i="29" s="1"/>
  <c r="I12" i="30"/>
  <c r="G16" i="29" s="1"/>
  <c r="I13" i="30"/>
  <c r="G17" i="29" s="1"/>
  <c r="I4" i="30"/>
  <c r="G8" i="29" s="1"/>
  <c r="D9" i="29"/>
  <c r="D10" i="29"/>
  <c r="D11" i="29"/>
  <c r="D12" i="29"/>
  <c r="D13" i="29"/>
  <c r="D14" i="29"/>
  <c r="D15" i="29"/>
  <c r="D16" i="29"/>
  <c r="D17" i="29"/>
  <c r="E9" i="29"/>
  <c r="E10" i="29"/>
  <c r="E11" i="29"/>
  <c r="E12" i="29"/>
  <c r="E13" i="29"/>
  <c r="E14" i="29"/>
  <c r="E15" i="29"/>
  <c r="E16" i="29"/>
  <c r="E17" i="29"/>
  <c r="E8" i="29"/>
  <c r="Q30" i="29" s="1"/>
  <c r="D8" i="29"/>
  <c r="B17" i="29"/>
  <c r="B9" i="29"/>
  <c r="B10" i="29"/>
  <c r="B11" i="29"/>
  <c r="B12" i="29"/>
  <c r="B13" i="29"/>
  <c r="B14" i="29"/>
  <c r="B15" i="29"/>
  <c r="B16" i="29"/>
  <c r="B8" i="29"/>
  <c r="F21" i="30"/>
  <c r="J21" i="30" s="1"/>
  <c r="F22" i="30"/>
  <c r="J22" i="30" s="1"/>
  <c r="F23" i="30"/>
  <c r="J23" i="30" s="1"/>
  <c r="F24" i="30"/>
  <c r="J24" i="30" s="1"/>
  <c r="F25" i="30"/>
  <c r="J25" i="30" s="1"/>
  <c r="F26" i="30"/>
  <c r="J26" i="30" s="1"/>
  <c r="F27" i="30"/>
  <c r="J27" i="30" s="1"/>
  <c r="F28" i="30"/>
  <c r="J28" i="30" s="1"/>
  <c r="F29" i="30"/>
  <c r="J29" i="30" s="1"/>
  <c r="F30" i="30"/>
  <c r="J30" i="30"/>
  <c r="F31" i="30"/>
  <c r="J31" i="30" s="1"/>
  <c r="F32" i="30"/>
  <c r="J32" i="30" s="1"/>
  <c r="F33" i="30"/>
  <c r="J33" i="30" s="1"/>
  <c r="F34" i="30"/>
  <c r="J34" i="30" s="1"/>
  <c r="F35" i="30"/>
  <c r="J35" i="30" s="1"/>
  <c r="F36" i="30"/>
  <c r="J36" i="30" s="1"/>
  <c r="F37" i="30"/>
  <c r="J37" i="30" s="1"/>
  <c r="F38" i="30"/>
  <c r="J38" i="30" s="1"/>
  <c r="F39" i="30"/>
  <c r="J39" i="30" s="1"/>
  <c r="F40" i="30"/>
  <c r="J40" i="30" s="1"/>
  <c r="F5" i="30"/>
  <c r="J5" i="30" s="1"/>
  <c r="F6" i="30"/>
  <c r="J6" i="30" s="1"/>
  <c r="F7" i="30"/>
  <c r="J7" i="30" s="1"/>
  <c r="F8" i="30"/>
  <c r="J8" i="30" s="1"/>
  <c r="F9" i="30"/>
  <c r="J9" i="30" s="1"/>
  <c r="F10" i="30"/>
  <c r="J10" i="30" s="1"/>
  <c r="F11" i="30"/>
  <c r="J11" i="30" s="1"/>
  <c r="F12" i="30"/>
  <c r="J12" i="30" s="1"/>
  <c r="F13" i="30"/>
  <c r="J13" i="30" s="1"/>
  <c r="F4" i="30"/>
  <c r="J4" i="30" s="1"/>
  <c r="D39" i="28"/>
  <c r="H42" i="15"/>
  <c r="I42" i="15"/>
  <c r="J42" i="15"/>
  <c r="K42" i="15"/>
  <c r="G42" i="15"/>
  <c r="H12" i="15"/>
  <c r="I12" i="15"/>
  <c r="J12" i="15"/>
  <c r="K12" i="15"/>
  <c r="G12" i="15"/>
  <c r="B12" i="15"/>
  <c r="F17" i="18"/>
  <c r="F16" i="18"/>
  <c r="K33" i="6"/>
  <c r="G8" i="15"/>
  <c r="H8" i="15"/>
  <c r="I8" i="15"/>
  <c r="J8" i="15"/>
  <c r="K8" i="15"/>
  <c r="H7" i="15"/>
  <c r="I7" i="15"/>
  <c r="J7" i="15"/>
  <c r="K7" i="15"/>
  <c r="G7" i="15"/>
  <c r="G6" i="15"/>
  <c r="H6" i="15"/>
  <c r="I6" i="15"/>
  <c r="J6" i="15"/>
  <c r="K6" i="15"/>
  <c r="H5" i="15"/>
  <c r="I5" i="15"/>
  <c r="J5" i="15"/>
  <c r="K5" i="15"/>
  <c r="G5" i="15"/>
  <c r="H14" i="15"/>
  <c r="I14" i="15"/>
  <c r="J14" i="15"/>
  <c r="K14" i="15"/>
  <c r="G14" i="15"/>
  <c r="O28" i="29" l="1"/>
  <c r="P28" i="29"/>
  <c r="F8" i="29"/>
  <c r="F16" i="29"/>
  <c r="H16" i="29" s="1"/>
  <c r="P16" i="29" s="1"/>
  <c r="F10" i="29"/>
  <c r="H10" i="29" s="1"/>
  <c r="P30" i="29"/>
  <c r="Q28" i="29"/>
  <c r="O30" i="29"/>
  <c r="F11" i="29"/>
  <c r="F17" i="29"/>
  <c r="F9" i="29"/>
  <c r="F15" i="29"/>
  <c r="F13" i="29"/>
  <c r="F12" i="29"/>
  <c r="F14" i="29"/>
  <c r="G9" i="15"/>
  <c r="K9" i="15"/>
  <c r="J9" i="15"/>
  <c r="I9" i="15"/>
  <c r="H9" i="15"/>
  <c r="G31" i="15"/>
  <c r="H24" i="15"/>
  <c r="I24" i="15"/>
  <c r="J24" i="15"/>
  <c r="K24" i="15"/>
  <c r="G24" i="15"/>
  <c r="B24" i="15"/>
  <c r="G5" i="22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8" i="24"/>
  <c r="M7" i="31"/>
  <c r="J6" i="31" s="1"/>
  <c r="D9" i="31"/>
  <c r="D10" i="31"/>
  <c r="D11" i="31"/>
  <c r="D12" i="31"/>
  <c r="D13" i="31"/>
  <c r="D14" i="31"/>
  <c r="D15" i="31"/>
  <c r="D16" i="31"/>
  <c r="D8" i="31"/>
  <c r="G16" i="31"/>
  <c r="G15" i="31"/>
  <c r="G14" i="31"/>
  <c r="G13" i="31"/>
  <c r="G12" i="31"/>
  <c r="G11" i="31"/>
  <c r="G10" i="31"/>
  <c r="G9" i="31"/>
  <c r="G8" i="31"/>
  <c r="B12" i="18"/>
  <c r="M7" i="23"/>
  <c r="M7" i="20"/>
  <c r="Q10" i="29" l="1"/>
  <c r="H8" i="29"/>
  <c r="Q8" i="29"/>
  <c r="Q16" i="29"/>
  <c r="O16" i="29"/>
  <c r="H17" i="29"/>
  <c r="Q17" i="29"/>
  <c r="H11" i="29"/>
  <c r="Q11" i="29"/>
  <c r="H14" i="29"/>
  <c r="Q14" i="29"/>
  <c r="H12" i="29"/>
  <c r="Q12" i="29"/>
  <c r="H15" i="29"/>
  <c r="Q15" i="29"/>
  <c r="H13" i="29"/>
  <c r="Q13" i="29"/>
  <c r="O10" i="29"/>
  <c r="P10" i="29"/>
  <c r="H9" i="29"/>
  <c r="Q9" i="29"/>
  <c r="M5" i="31"/>
  <c r="M6" i="31"/>
  <c r="I15" i="18"/>
  <c r="J12" i="31"/>
  <c r="O8" i="29" l="1"/>
  <c r="P8" i="29"/>
  <c r="P14" i="29"/>
  <c r="O14" i="29"/>
  <c r="P13" i="29"/>
  <c r="O13" i="29"/>
  <c r="Q22" i="29"/>
  <c r="Q29" i="29" s="1"/>
  <c r="Q23" i="29"/>
  <c r="Q20" i="29"/>
  <c r="Q19" i="29"/>
  <c r="Q24" i="29"/>
  <c r="Q21" i="29"/>
  <c r="P11" i="29"/>
  <c r="O11" i="29"/>
  <c r="P15" i="29"/>
  <c r="O15" i="29"/>
  <c r="P9" i="29"/>
  <c r="O9" i="29"/>
  <c r="P12" i="29"/>
  <c r="O12" i="29"/>
  <c r="P17" i="29"/>
  <c r="O17" i="29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8" i="20"/>
  <c r="E11" i="18"/>
  <c r="E12" i="18"/>
  <c r="E13" i="18"/>
  <c r="E14" i="18"/>
  <c r="E15" i="18"/>
  <c r="E10" i="18"/>
  <c r="D11" i="18"/>
  <c r="D12" i="18"/>
  <c r="D13" i="18"/>
  <c r="D14" i="18"/>
  <c r="D15" i="18"/>
  <c r="H15" i="18" s="1"/>
  <c r="D10" i="18"/>
  <c r="C31" i="18" s="1"/>
  <c r="B11" i="18"/>
  <c r="B13" i="18"/>
  <c r="B14" i="18"/>
  <c r="B15" i="18"/>
  <c r="B10" i="18"/>
  <c r="M5" i="20" l="1"/>
  <c r="M6" i="20"/>
  <c r="G15" i="18"/>
  <c r="J15" i="18" s="1"/>
  <c r="O21" i="29"/>
  <c r="O19" i="29"/>
  <c r="Q31" i="29"/>
  <c r="Q27" i="29"/>
  <c r="P24" i="29"/>
  <c r="P20" i="29"/>
  <c r="P23" i="29"/>
  <c r="P19" i="29"/>
  <c r="P22" i="29"/>
  <c r="P27" i="29" s="1"/>
  <c r="P29" i="29" s="1"/>
  <c r="P31" i="29" s="1"/>
  <c r="P21" i="29"/>
  <c r="O20" i="29"/>
  <c r="O24" i="29"/>
  <c r="O23" i="29"/>
  <c r="O22" i="29"/>
  <c r="O27" i="29" s="1"/>
  <c r="B6" i="6"/>
  <c r="Q33" i="29" l="1"/>
  <c r="Q34" i="29"/>
  <c r="Q35" i="29"/>
  <c r="P33" i="29"/>
  <c r="P34" i="29"/>
  <c r="P35" i="29"/>
  <c r="O29" i="29"/>
  <c r="O31" i="29" s="1"/>
  <c r="D33" i="28"/>
  <c r="D32" i="28"/>
  <c r="D22" i="28"/>
  <c r="F9" i="28"/>
  <c r="G9" i="28" s="1"/>
  <c r="H9" i="28" s="1"/>
  <c r="I9" i="28" s="1"/>
  <c r="M7" i="26"/>
  <c r="G66" i="26"/>
  <c r="G65" i="26"/>
  <c r="G64" i="26"/>
  <c r="G63" i="26"/>
  <c r="G62" i="26"/>
  <c r="G61" i="26"/>
  <c r="G60" i="26"/>
  <c r="G59" i="26"/>
  <c r="G58" i="26"/>
  <c r="G57" i="26"/>
  <c r="G56" i="26"/>
  <c r="G55" i="26"/>
  <c r="G54" i="26"/>
  <c r="G53" i="26"/>
  <c r="G52" i="26"/>
  <c r="G51" i="26"/>
  <c r="G50" i="26"/>
  <c r="G49" i="26"/>
  <c r="G48" i="26"/>
  <c r="G47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M7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E23" i="18"/>
  <c r="F23" i="18" s="1"/>
  <c r="M7" i="25"/>
  <c r="G67" i="25"/>
  <c r="G66" i="25"/>
  <c r="G65" i="25"/>
  <c r="G64" i="25"/>
  <c r="G63" i="25"/>
  <c r="G62" i="25"/>
  <c r="G61" i="25"/>
  <c r="G60" i="25"/>
  <c r="G59" i="25"/>
  <c r="G58" i="25"/>
  <c r="G57" i="25"/>
  <c r="G56" i="25"/>
  <c r="G55" i="25"/>
  <c r="G54" i="25"/>
  <c r="G53" i="25"/>
  <c r="G52" i="25"/>
  <c r="G51" i="25"/>
  <c r="G50" i="25"/>
  <c r="G49" i="25"/>
  <c r="G48" i="25"/>
  <c r="G47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D8" i="23"/>
  <c r="O33" i="29" l="1"/>
  <c r="O34" i="29"/>
  <c r="O35" i="29"/>
  <c r="J32" i="18"/>
  <c r="G14" i="18" l="1"/>
  <c r="G12" i="18"/>
  <c r="H14" i="18"/>
  <c r="C32" i="18"/>
  <c r="H13" i="18"/>
  <c r="E5" i="28"/>
  <c r="J6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J6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J6" i="24"/>
  <c r="J6" i="23"/>
  <c r="I11" i="18" s="1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G7" i="22"/>
  <c r="J23" i="18" s="1"/>
  <c r="J6" i="20"/>
  <c r="E22" i="18"/>
  <c r="J44" i="18"/>
  <c r="C33" i="18" l="1"/>
  <c r="D31" i="18" s="1"/>
  <c r="H10" i="18"/>
  <c r="M6" i="24"/>
  <c r="M5" i="24"/>
  <c r="J12" i="24"/>
  <c r="I13" i="18"/>
  <c r="M5" i="25"/>
  <c r="G13" i="18"/>
  <c r="J12" i="20"/>
  <c r="I10" i="18"/>
  <c r="M6" i="26"/>
  <c r="M5" i="26"/>
  <c r="F5" i="28"/>
  <c r="J12" i="26"/>
  <c r="I14" i="18"/>
  <c r="M6" i="25"/>
  <c r="J12" i="23"/>
  <c r="M6" i="23"/>
  <c r="M5" i="23"/>
  <c r="H11" i="18"/>
  <c r="G11" i="18"/>
  <c r="H12" i="18"/>
  <c r="G10" i="18"/>
  <c r="I12" i="18"/>
  <c r="J12" i="18" s="1"/>
  <c r="J12" i="25"/>
  <c r="G16" i="18" l="1"/>
  <c r="G17" i="18"/>
  <c r="I16" i="18"/>
  <c r="I17" i="18"/>
  <c r="J10" i="18"/>
  <c r="H16" i="18"/>
  <c r="E31" i="18" s="1"/>
  <c r="J45" i="18" s="1"/>
  <c r="H17" i="18"/>
  <c r="J13" i="18"/>
  <c r="G5" i="28"/>
  <c r="J14" i="18"/>
  <c r="J11" i="18"/>
  <c r="D32" i="18"/>
  <c r="D35" i="18" s="1"/>
  <c r="J17" i="18" l="1"/>
  <c r="J30" i="18" s="1"/>
  <c r="J16" i="18"/>
  <c r="E32" i="18"/>
  <c r="J42" i="18" s="1"/>
  <c r="H5" i="28"/>
  <c r="E35" i="18" l="1"/>
  <c r="J31" i="18" s="1"/>
  <c r="J33" i="18" s="1"/>
  <c r="I5" i="28"/>
  <c r="B31" i="15"/>
  <c r="H31" i="15"/>
  <c r="I31" i="15"/>
  <c r="J31" i="15"/>
  <c r="K31" i="15"/>
  <c r="G21" i="15"/>
  <c r="H21" i="15"/>
  <c r="I21" i="15"/>
  <c r="J21" i="15"/>
  <c r="K21" i="15"/>
  <c r="G22" i="15"/>
  <c r="H22" i="15"/>
  <c r="I22" i="15"/>
  <c r="J22" i="15"/>
  <c r="K22" i="15"/>
  <c r="G23" i="15"/>
  <c r="H23" i="15"/>
  <c r="I23" i="15"/>
  <c r="J23" i="15"/>
  <c r="K23" i="15"/>
  <c r="G25" i="15"/>
  <c r="H25" i="15"/>
  <c r="I25" i="15"/>
  <c r="J25" i="15"/>
  <c r="K25" i="15"/>
  <c r="G26" i="15"/>
  <c r="H26" i="15"/>
  <c r="I26" i="15"/>
  <c r="J26" i="15"/>
  <c r="K26" i="15"/>
  <c r="G27" i="15"/>
  <c r="H27" i="15"/>
  <c r="I27" i="15"/>
  <c r="J27" i="15"/>
  <c r="K27" i="15"/>
  <c r="G28" i="15"/>
  <c r="H28" i="15"/>
  <c r="I28" i="15"/>
  <c r="J28" i="15"/>
  <c r="K28" i="15"/>
  <c r="H20" i="15"/>
  <c r="I20" i="15"/>
  <c r="J20" i="15"/>
  <c r="K20" i="15"/>
  <c r="G20" i="15"/>
  <c r="B28" i="15"/>
  <c r="B27" i="15"/>
  <c r="B21" i="15"/>
  <c r="B22" i="15"/>
  <c r="B23" i="15"/>
  <c r="B25" i="15"/>
  <c r="B26" i="15"/>
  <c r="B20" i="15"/>
  <c r="K13" i="15"/>
  <c r="K15" i="15" s="1"/>
  <c r="K17" i="15" s="1"/>
  <c r="J13" i="15"/>
  <c r="J15" i="15" s="1"/>
  <c r="J17" i="15" s="1"/>
  <c r="I13" i="15"/>
  <c r="I15" i="15" s="1"/>
  <c r="I17" i="15" s="1"/>
  <c r="H13" i="15"/>
  <c r="H15" i="15" s="1"/>
  <c r="H17" i="15" s="1"/>
  <c r="G13" i="15"/>
  <c r="G15" i="15" s="1"/>
  <c r="G17" i="15" s="1"/>
  <c r="B14" i="15"/>
  <c r="B13" i="15"/>
  <c r="K56" i="15"/>
  <c r="J56" i="15"/>
  <c r="I56" i="15"/>
  <c r="H56" i="15"/>
  <c r="G56" i="15"/>
  <c r="K40" i="15"/>
  <c r="J40" i="15"/>
  <c r="I40" i="15"/>
  <c r="H40" i="15"/>
  <c r="G40" i="15"/>
  <c r="H2" i="15"/>
  <c r="I2" i="15"/>
  <c r="J2" i="15"/>
  <c r="K2" i="15"/>
  <c r="D2" i="28" s="1"/>
  <c r="E2" i="28" s="1"/>
  <c r="F2" i="28" s="1"/>
  <c r="G2" i="28" s="1"/>
  <c r="H2" i="28" s="1"/>
  <c r="I2" i="28" s="1"/>
  <c r="G2" i="15"/>
  <c r="B8" i="15"/>
  <c r="B7" i="15"/>
  <c r="B6" i="15"/>
  <c r="B5" i="15"/>
  <c r="C30" i="14"/>
  <c r="N30" i="14"/>
  <c r="M30" i="14"/>
  <c r="L30" i="14"/>
  <c r="K30" i="14"/>
  <c r="J30" i="14"/>
  <c r="I30" i="14"/>
  <c r="H30" i="14"/>
  <c r="G30" i="14"/>
  <c r="F30" i="14"/>
  <c r="E30" i="14"/>
  <c r="D30" i="14"/>
  <c r="G30" i="15" l="1"/>
  <c r="G32" i="15" s="1"/>
  <c r="J24" i="18"/>
  <c r="J25" i="18" s="1"/>
  <c r="J41" i="18" s="1"/>
  <c r="J47" i="18" s="1"/>
  <c r="D16" i="28" s="1"/>
  <c r="E10" i="28" s="1"/>
  <c r="K30" i="15"/>
  <c r="K32" i="15" s="1"/>
  <c r="H30" i="15"/>
  <c r="H32" i="15" s="1"/>
  <c r="J30" i="15"/>
  <c r="J32" i="15" s="1"/>
  <c r="I30" i="15"/>
  <c r="I32" i="15" s="1"/>
  <c r="G10" i="28" l="1"/>
  <c r="D21" i="28"/>
  <c r="H10" i="28"/>
  <c r="I10" i="28"/>
  <c r="F10" i="28"/>
  <c r="G34" i="15"/>
  <c r="I34" i="15"/>
  <c r="K43" i="15"/>
  <c r="K49" i="15" s="1"/>
  <c r="H43" i="15" l="1"/>
  <c r="H49" i="15" s="1"/>
  <c r="K34" i="15"/>
  <c r="H34" i="15"/>
  <c r="J43" i="15"/>
  <c r="J49" i="15" s="1"/>
  <c r="J34" i="15"/>
  <c r="I43" i="15"/>
  <c r="I49" i="15" s="1"/>
  <c r="C36" i="13" l="1"/>
  <c r="C35" i="13"/>
  <c r="C34" i="13"/>
  <c r="C33" i="13"/>
  <c r="B76" i="6"/>
  <c r="C40" i="13" s="1"/>
  <c r="K74" i="6"/>
  <c r="J74" i="6"/>
  <c r="I74" i="6"/>
  <c r="J37" i="13" s="1"/>
  <c r="H74" i="6"/>
  <c r="G74" i="6"/>
  <c r="H37" i="13" s="1"/>
  <c r="F74" i="6"/>
  <c r="G37" i="13" s="1"/>
  <c r="E74" i="6"/>
  <c r="D74" i="6"/>
  <c r="C74" i="6"/>
  <c r="B74" i="6"/>
  <c r="C76" i="6"/>
  <c r="D40" i="13" s="1"/>
  <c r="K76" i="6"/>
  <c r="L40" i="13" s="1"/>
  <c r="J76" i="6"/>
  <c r="K33" i="13" s="1"/>
  <c r="I76" i="6"/>
  <c r="J34" i="13" s="1"/>
  <c r="H76" i="6"/>
  <c r="I35" i="13" s="1"/>
  <c r="G76" i="6"/>
  <c r="H36" i="13" s="1"/>
  <c r="F76" i="6"/>
  <c r="G36" i="13" s="1"/>
  <c r="E76" i="6"/>
  <c r="F38" i="13" s="1"/>
  <c r="D76" i="6"/>
  <c r="E39" i="13" s="1"/>
  <c r="L31" i="13"/>
  <c r="K31" i="13"/>
  <c r="J31" i="13"/>
  <c r="I31" i="13"/>
  <c r="H31" i="13"/>
  <c r="G31" i="13"/>
  <c r="F31" i="13"/>
  <c r="E31" i="13"/>
  <c r="D31" i="13"/>
  <c r="C31" i="13"/>
  <c r="L30" i="13"/>
  <c r="K30" i="13"/>
  <c r="J30" i="13"/>
  <c r="I30" i="13"/>
  <c r="H30" i="13"/>
  <c r="G30" i="13"/>
  <c r="F30" i="13"/>
  <c r="E30" i="13"/>
  <c r="D30" i="13"/>
  <c r="C30" i="13"/>
  <c r="L29" i="13"/>
  <c r="K29" i="13"/>
  <c r="J29" i="13"/>
  <c r="I29" i="13"/>
  <c r="H29" i="13"/>
  <c r="G29" i="13"/>
  <c r="F29" i="13"/>
  <c r="E29" i="13"/>
  <c r="D29" i="13"/>
  <c r="C29" i="13"/>
  <c r="L28" i="13"/>
  <c r="K28" i="13"/>
  <c r="J28" i="13"/>
  <c r="I28" i="13"/>
  <c r="H28" i="13"/>
  <c r="G28" i="13"/>
  <c r="F28" i="13"/>
  <c r="E28" i="13"/>
  <c r="D28" i="13"/>
  <c r="C28" i="13"/>
  <c r="D27" i="13"/>
  <c r="E27" i="13"/>
  <c r="F27" i="13"/>
  <c r="G27" i="13"/>
  <c r="H27" i="13"/>
  <c r="I27" i="13"/>
  <c r="J27" i="13"/>
  <c r="K27" i="13"/>
  <c r="L27" i="13"/>
  <c r="C27" i="13"/>
  <c r="L25" i="13"/>
  <c r="K25" i="13"/>
  <c r="J25" i="13"/>
  <c r="I25" i="13"/>
  <c r="H25" i="13"/>
  <c r="G25" i="13"/>
  <c r="F25" i="13"/>
  <c r="E25" i="13"/>
  <c r="D25" i="13"/>
  <c r="C25" i="13"/>
  <c r="L4" i="13"/>
  <c r="K4" i="13"/>
  <c r="J4" i="13"/>
  <c r="I4" i="13"/>
  <c r="H4" i="13"/>
  <c r="G4" i="13"/>
  <c r="F4" i="13"/>
  <c r="E4" i="13"/>
  <c r="D4" i="13"/>
  <c r="C4" i="13"/>
  <c r="B29" i="13"/>
  <c r="B30" i="13"/>
  <c r="B31" i="13"/>
  <c r="B34" i="13"/>
  <c r="B35" i="13"/>
  <c r="B36" i="13"/>
  <c r="B37" i="13"/>
  <c r="B38" i="13"/>
  <c r="B39" i="13"/>
  <c r="B40" i="13"/>
  <c r="B28" i="13"/>
  <c r="B23" i="13"/>
  <c r="B2" i="13"/>
  <c r="L21" i="13"/>
  <c r="L20" i="13"/>
  <c r="K20" i="13"/>
  <c r="J20" i="13"/>
  <c r="I20" i="13"/>
  <c r="H20" i="13"/>
  <c r="G20" i="13"/>
  <c r="F20" i="13"/>
  <c r="E20" i="13"/>
  <c r="D20" i="13"/>
  <c r="C20" i="13"/>
  <c r="L19" i="13"/>
  <c r="K19" i="13"/>
  <c r="J19" i="13"/>
  <c r="I19" i="13"/>
  <c r="H19" i="13"/>
  <c r="G19" i="13"/>
  <c r="F19" i="13"/>
  <c r="E19" i="13"/>
  <c r="D19" i="13"/>
  <c r="C19" i="13"/>
  <c r="L18" i="13"/>
  <c r="K18" i="13"/>
  <c r="J18" i="13"/>
  <c r="I18" i="13"/>
  <c r="H18" i="13"/>
  <c r="G18" i="13"/>
  <c r="F18" i="13"/>
  <c r="E18" i="13"/>
  <c r="D18" i="13"/>
  <c r="C18" i="13"/>
  <c r="L17" i="13"/>
  <c r="K17" i="13"/>
  <c r="J17" i="13"/>
  <c r="I17" i="13"/>
  <c r="H17" i="13"/>
  <c r="G17" i="13"/>
  <c r="F17" i="13"/>
  <c r="E17" i="13"/>
  <c r="D17" i="13"/>
  <c r="C17" i="13"/>
  <c r="L16" i="13"/>
  <c r="K16" i="13"/>
  <c r="J16" i="13"/>
  <c r="I16" i="13"/>
  <c r="H16" i="13"/>
  <c r="G16" i="13"/>
  <c r="F16" i="13"/>
  <c r="E16" i="13"/>
  <c r="D16" i="13"/>
  <c r="C16" i="13"/>
  <c r="L15" i="13"/>
  <c r="K15" i="13"/>
  <c r="J15" i="13"/>
  <c r="I15" i="13"/>
  <c r="H15" i="13"/>
  <c r="G15" i="13"/>
  <c r="F15" i="13"/>
  <c r="E15" i="13"/>
  <c r="D15" i="13"/>
  <c r="C15" i="13"/>
  <c r="L14" i="13"/>
  <c r="K14" i="13"/>
  <c r="J14" i="13"/>
  <c r="I14" i="13"/>
  <c r="H14" i="13"/>
  <c r="G14" i="13"/>
  <c r="F14" i="13"/>
  <c r="E14" i="13"/>
  <c r="D14" i="13"/>
  <c r="C14" i="13"/>
  <c r="L13" i="13"/>
  <c r="K13" i="13"/>
  <c r="J13" i="13"/>
  <c r="I13" i="13"/>
  <c r="H13" i="13"/>
  <c r="G13" i="13"/>
  <c r="F13" i="13"/>
  <c r="E13" i="13"/>
  <c r="D13" i="13"/>
  <c r="C13" i="13"/>
  <c r="L12" i="13"/>
  <c r="K12" i="13"/>
  <c r="J12" i="13"/>
  <c r="I12" i="13"/>
  <c r="H12" i="13"/>
  <c r="G12" i="13"/>
  <c r="F12" i="13"/>
  <c r="E12" i="13"/>
  <c r="D12" i="13"/>
  <c r="C12" i="13"/>
  <c r="L11" i="13"/>
  <c r="K11" i="13"/>
  <c r="J11" i="13"/>
  <c r="I11" i="13"/>
  <c r="H11" i="13"/>
  <c r="G11" i="13"/>
  <c r="F11" i="13"/>
  <c r="E11" i="13"/>
  <c r="D11" i="13"/>
  <c r="C11" i="13"/>
  <c r="L10" i="13"/>
  <c r="K10" i="13"/>
  <c r="J10" i="13"/>
  <c r="I10" i="13"/>
  <c r="H10" i="13"/>
  <c r="G10" i="13"/>
  <c r="F10" i="13"/>
  <c r="E10" i="13"/>
  <c r="D10" i="13"/>
  <c r="C10" i="13"/>
  <c r="L9" i="13"/>
  <c r="K9" i="13"/>
  <c r="J9" i="13"/>
  <c r="I9" i="13"/>
  <c r="H9" i="13"/>
  <c r="G9" i="13"/>
  <c r="F9" i="13"/>
  <c r="E9" i="13"/>
  <c r="D9" i="13"/>
  <c r="C9" i="13"/>
  <c r="L8" i="13"/>
  <c r="K8" i="13"/>
  <c r="J8" i="13"/>
  <c r="I8" i="13"/>
  <c r="H8" i="13"/>
  <c r="G8" i="13"/>
  <c r="F8" i="13"/>
  <c r="E8" i="13"/>
  <c r="D8" i="13"/>
  <c r="C8" i="13"/>
  <c r="L7" i="13"/>
  <c r="K7" i="13"/>
  <c r="J7" i="13"/>
  <c r="I7" i="13"/>
  <c r="H7" i="13"/>
  <c r="G7" i="13"/>
  <c r="F7" i="13"/>
  <c r="E7" i="13"/>
  <c r="D7" i="13"/>
  <c r="C7" i="13"/>
  <c r="D6" i="13"/>
  <c r="E6" i="13"/>
  <c r="F6" i="13"/>
  <c r="G6" i="13"/>
  <c r="H6" i="13"/>
  <c r="I6" i="13"/>
  <c r="J6" i="13"/>
  <c r="K6" i="13"/>
  <c r="L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6" i="13"/>
  <c r="B33" i="6"/>
  <c r="C21" i="13" s="1"/>
  <c r="C33" i="6"/>
  <c r="D21" i="13" s="1"/>
  <c r="D33" i="6"/>
  <c r="E21" i="13" s="1"/>
  <c r="E33" i="6"/>
  <c r="F21" i="13" s="1"/>
  <c r="F33" i="6"/>
  <c r="G21" i="13" s="1"/>
  <c r="G33" i="6"/>
  <c r="H21" i="13" s="1"/>
  <c r="H33" i="6"/>
  <c r="I21" i="13" s="1"/>
  <c r="I33" i="6"/>
  <c r="J21" i="13" s="1"/>
  <c r="J33" i="6"/>
  <c r="K21" i="13" s="1"/>
  <c r="D4" i="28"/>
  <c r="B2" i="8"/>
  <c r="B2" i="11"/>
  <c r="L2" i="11"/>
  <c r="G2" i="11"/>
  <c r="M4" i="11"/>
  <c r="M5" i="11" s="1"/>
  <c r="M6" i="11" s="1"/>
  <c r="M7" i="11" s="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H4" i="1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L5" i="11"/>
  <c r="L6" i="11" s="1"/>
  <c r="L7" i="11" s="1"/>
  <c r="L8" i="11" s="1"/>
  <c r="L9" i="11" s="1"/>
  <c r="L10" i="11" s="1"/>
  <c r="L11" i="11" s="1"/>
  <c r="L12" i="11" s="1"/>
  <c r="L13" i="11" s="1"/>
  <c r="L14" i="11" s="1"/>
  <c r="G5" i="11"/>
  <c r="G6" i="11" s="1"/>
  <c r="G7" i="11" s="1"/>
  <c r="G8" i="11" s="1"/>
  <c r="G9" i="11" s="1"/>
  <c r="G10" i="11" s="1"/>
  <c r="G11" i="11" s="1"/>
  <c r="G12" i="11" s="1"/>
  <c r="G13" i="11" s="1"/>
  <c r="G14" i="11" s="1"/>
  <c r="D4" i="11" a="1"/>
  <c r="D4" i="11" s="1"/>
  <c r="B5" i="11"/>
  <c r="B6" i="11" s="1"/>
  <c r="B7" i="11" s="1"/>
  <c r="B8" i="11" s="1"/>
  <c r="B9" i="11" s="1"/>
  <c r="B10" i="11" s="1"/>
  <c r="B11" i="11" s="1"/>
  <c r="B12" i="11" s="1"/>
  <c r="B13" i="11" s="1"/>
  <c r="B14" i="11" s="1"/>
  <c r="B2" i="10"/>
  <c r="L3" i="10"/>
  <c r="K3" i="10"/>
  <c r="J3" i="10"/>
  <c r="I3" i="10"/>
  <c r="H3" i="10"/>
  <c r="G3" i="10"/>
  <c r="F3" i="10"/>
  <c r="E3" i="10"/>
  <c r="D3" i="10"/>
  <c r="C3" i="10"/>
  <c r="L76" i="8"/>
  <c r="K76" i="8"/>
  <c r="J76" i="8"/>
  <c r="I76" i="8"/>
  <c r="H76" i="8"/>
  <c r="G76" i="8"/>
  <c r="F76" i="8"/>
  <c r="E76" i="8"/>
  <c r="D76" i="8"/>
  <c r="C76" i="8"/>
  <c r="L74" i="8"/>
  <c r="K74" i="8"/>
  <c r="J74" i="8"/>
  <c r="I74" i="8"/>
  <c r="H74" i="8"/>
  <c r="G74" i="8"/>
  <c r="F74" i="8"/>
  <c r="E74" i="8"/>
  <c r="D74" i="8"/>
  <c r="C74" i="8"/>
  <c r="L72" i="8"/>
  <c r="K72" i="8"/>
  <c r="J72" i="8"/>
  <c r="I72" i="8"/>
  <c r="H72" i="8"/>
  <c r="G72" i="8"/>
  <c r="F72" i="8"/>
  <c r="E72" i="8"/>
  <c r="D72" i="8"/>
  <c r="C72" i="8"/>
  <c r="L70" i="8"/>
  <c r="L40" i="10" s="1"/>
  <c r="K70" i="8"/>
  <c r="J70" i="8"/>
  <c r="I70" i="8"/>
  <c r="H70" i="8"/>
  <c r="G70" i="8"/>
  <c r="F70" i="8"/>
  <c r="E70" i="8"/>
  <c r="D70" i="8"/>
  <c r="C70" i="8"/>
  <c r="C36" i="8"/>
  <c r="C41" i="8" s="1"/>
  <c r="D36" i="8"/>
  <c r="D41" i="8" s="1"/>
  <c r="E36" i="8"/>
  <c r="E41" i="8" s="1"/>
  <c r="E9" i="10" s="1"/>
  <c r="F36" i="8"/>
  <c r="F41" i="8" s="1"/>
  <c r="G36" i="8"/>
  <c r="G41" i="8" s="1"/>
  <c r="H36" i="8"/>
  <c r="H41" i="8" s="1"/>
  <c r="I36" i="8"/>
  <c r="I41" i="8" s="1"/>
  <c r="I9" i="10" s="1"/>
  <c r="J36" i="8"/>
  <c r="J41" i="8" s="1"/>
  <c r="K36" i="8"/>
  <c r="K41" i="8" s="1"/>
  <c r="K9" i="10" s="1"/>
  <c r="L36" i="8"/>
  <c r="L41" i="8" s="1"/>
  <c r="D56" i="8"/>
  <c r="E56" i="8"/>
  <c r="F56" i="8"/>
  <c r="G56" i="8"/>
  <c r="H56" i="8"/>
  <c r="I56" i="8"/>
  <c r="J56" i="8"/>
  <c r="K56" i="8"/>
  <c r="L56" i="8"/>
  <c r="C56" i="8"/>
  <c r="L61" i="8"/>
  <c r="K61" i="8"/>
  <c r="J61" i="8"/>
  <c r="I61" i="8"/>
  <c r="H61" i="8"/>
  <c r="G61" i="8"/>
  <c r="F61" i="8"/>
  <c r="E61" i="8"/>
  <c r="D61" i="8"/>
  <c r="C61" i="8"/>
  <c r="L60" i="8"/>
  <c r="K60" i="8"/>
  <c r="J60" i="8"/>
  <c r="I60" i="8"/>
  <c r="H60" i="8"/>
  <c r="G60" i="8"/>
  <c r="F60" i="8"/>
  <c r="E60" i="8"/>
  <c r="D60" i="8"/>
  <c r="C60" i="8"/>
  <c r="L59" i="8"/>
  <c r="K59" i="8"/>
  <c r="J59" i="8"/>
  <c r="I59" i="8"/>
  <c r="H59" i="8"/>
  <c r="G59" i="8"/>
  <c r="F59" i="8"/>
  <c r="E59" i="8"/>
  <c r="D59" i="8"/>
  <c r="C59" i="8"/>
  <c r="L55" i="8"/>
  <c r="K55" i="8"/>
  <c r="J55" i="8"/>
  <c r="I55" i="8"/>
  <c r="H55" i="8"/>
  <c r="G55" i="8"/>
  <c r="F55" i="8"/>
  <c r="E55" i="8"/>
  <c r="D55" i="8"/>
  <c r="C55" i="8"/>
  <c r="L54" i="8"/>
  <c r="K54" i="8"/>
  <c r="J54" i="8"/>
  <c r="I54" i="8"/>
  <c r="H54" i="8"/>
  <c r="G54" i="8"/>
  <c r="F54" i="8"/>
  <c r="E54" i="8"/>
  <c r="D54" i="8"/>
  <c r="C54" i="8"/>
  <c r="L53" i="8"/>
  <c r="K53" i="8"/>
  <c r="J53" i="8"/>
  <c r="I53" i="8"/>
  <c r="H53" i="8"/>
  <c r="G53" i="8"/>
  <c r="F53" i="8"/>
  <c r="E53" i="8"/>
  <c r="D53" i="8"/>
  <c r="C53" i="8"/>
  <c r="L51" i="8"/>
  <c r="K51" i="8"/>
  <c r="J51" i="8"/>
  <c r="I51" i="8"/>
  <c r="H51" i="8"/>
  <c r="G51" i="8"/>
  <c r="F51" i="8"/>
  <c r="E51" i="8"/>
  <c r="D51" i="8"/>
  <c r="C51" i="8"/>
  <c r="L50" i="8"/>
  <c r="K50" i="8"/>
  <c r="J50" i="8"/>
  <c r="I50" i="8"/>
  <c r="H50" i="8"/>
  <c r="G50" i="8"/>
  <c r="F50" i="8"/>
  <c r="E50" i="8"/>
  <c r="D50" i="8"/>
  <c r="C50" i="8"/>
  <c r="L49" i="8"/>
  <c r="K49" i="8"/>
  <c r="J49" i="8"/>
  <c r="I49" i="8"/>
  <c r="H49" i="8"/>
  <c r="G49" i="8"/>
  <c r="F49" i="8"/>
  <c r="E49" i="8"/>
  <c r="D49" i="8"/>
  <c r="C49" i="8"/>
  <c r="L48" i="8"/>
  <c r="K48" i="8"/>
  <c r="J48" i="8"/>
  <c r="I48" i="8"/>
  <c r="H48" i="8"/>
  <c r="G48" i="8"/>
  <c r="F48" i="8"/>
  <c r="E48" i="8"/>
  <c r="D48" i="8"/>
  <c r="C48" i="8"/>
  <c r="L47" i="8"/>
  <c r="K47" i="8"/>
  <c r="J47" i="8"/>
  <c r="I47" i="8"/>
  <c r="H47" i="8"/>
  <c r="G47" i="8"/>
  <c r="F47" i="8"/>
  <c r="E47" i="8"/>
  <c r="D47" i="8"/>
  <c r="C47" i="8"/>
  <c r="C30" i="8"/>
  <c r="C24" i="8"/>
  <c r="C9" i="8"/>
  <c r="M30" i="8"/>
  <c r="L30" i="8"/>
  <c r="K30" i="8"/>
  <c r="J30" i="8"/>
  <c r="I30" i="8"/>
  <c r="H30" i="8"/>
  <c r="G30" i="8"/>
  <c r="F30" i="8"/>
  <c r="E30" i="8"/>
  <c r="D30" i="8"/>
  <c r="M24" i="8"/>
  <c r="D24" i="8"/>
  <c r="E24" i="8"/>
  <c r="F24" i="8"/>
  <c r="G24" i="8"/>
  <c r="H24" i="8"/>
  <c r="I24" i="8"/>
  <c r="J24" i="8"/>
  <c r="K24" i="8"/>
  <c r="L24" i="8"/>
  <c r="M21" i="8"/>
  <c r="D21" i="8"/>
  <c r="E21" i="8"/>
  <c r="F21" i="8"/>
  <c r="G21" i="8"/>
  <c r="H21" i="8"/>
  <c r="I21" i="8"/>
  <c r="J21" i="8"/>
  <c r="K21" i="8"/>
  <c r="L21" i="8"/>
  <c r="F22" i="18" s="1"/>
  <c r="F24" i="18" s="1" a="1"/>
  <c r="F24" i="18" s="1"/>
  <c r="C21" i="8"/>
  <c r="D15" i="8"/>
  <c r="E15" i="8"/>
  <c r="F15" i="8"/>
  <c r="G15" i="8"/>
  <c r="H15" i="8"/>
  <c r="I15" i="8"/>
  <c r="J15" i="8"/>
  <c r="K15" i="8"/>
  <c r="L15" i="8"/>
  <c r="C15" i="8"/>
  <c r="L9" i="8"/>
  <c r="K9" i="8"/>
  <c r="J9" i="8"/>
  <c r="I9" i="8"/>
  <c r="H9" i="8"/>
  <c r="G9" i="8"/>
  <c r="F9" i="8"/>
  <c r="E9" i="8"/>
  <c r="D9" i="8"/>
  <c r="D6" i="8"/>
  <c r="M6" i="8"/>
  <c r="M12" i="8" s="1"/>
  <c r="M13" i="8" s="1"/>
  <c r="L6" i="8"/>
  <c r="E6" i="8"/>
  <c r="F6" i="8"/>
  <c r="G6" i="8"/>
  <c r="H6" i="8"/>
  <c r="H27" i="10" s="1"/>
  <c r="H33" i="10" s="1"/>
  <c r="I6" i="8"/>
  <c r="J6" i="8"/>
  <c r="K6" i="8"/>
  <c r="C6" i="8"/>
  <c r="D3" i="8"/>
  <c r="E3" i="8"/>
  <c r="F3" i="8"/>
  <c r="G3" i="8"/>
  <c r="H3" i="8"/>
  <c r="I3" i="8"/>
  <c r="J3" i="8"/>
  <c r="K3" i="8"/>
  <c r="L3" i="8"/>
  <c r="C3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35" i="28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G12" i="1"/>
  <c r="G13" i="1" s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A1" i="3" s="1"/>
  <c r="E1" i="6"/>
  <c r="H1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3" i="3"/>
  <c r="L15" i="1"/>
  <c r="B12" i="1"/>
  <c r="B11" i="1"/>
  <c r="B10" i="1"/>
  <c r="B9" i="1"/>
  <c r="B8" i="1"/>
  <c r="B3" i="1"/>
  <c r="D38" i="10" l="1"/>
  <c r="D35" i="13"/>
  <c r="F34" i="13"/>
  <c r="E6" i="1"/>
  <c r="E19" i="1" s="1"/>
  <c r="E37" i="13"/>
  <c r="J30" i="10"/>
  <c r="E34" i="13"/>
  <c r="F30" i="10"/>
  <c r="F37" i="13"/>
  <c r="F39" i="13"/>
  <c r="G30" i="10"/>
  <c r="G38" i="13"/>
  <c r="K34" i="13"/>
  <c r="J38" i="13"/>
  <c r="I37" i="13"/>
  <c r="D33" i="13"/>
  <c r="E35" i="13"/>
  <c r="H39" i="13"/>
  <c r="M7" i="8"/>
  <c r="C37" i="13"/>
  <c r="F33" i="13"/>
  <c r="J35" i="13"/>
  <c r="E40" i="13"/>
  <c r="D37" i="13"/>
  <c r="L37" i="13"/>
  <c r="G33" i="13"/>
  <c r="D36" i="13"/>
  <c r="G40" i="13"/>
  <c r="L33" i="13"/>
  <c r="H40" i="13"/>
  <c r="D6" i="28"/>
  <c r="H28" i="10"/>
  <c r="H34" i="10" s="1"/>
  <c r="I36" i="13"/>
  <c r="F31" i="10"/>
  <c r="E33" i="13"/>
  <c r="D34" i="13"/>
  <c r="L34" i="13"/>
  <c r="K35" i="13"/>
  <c r="J36" i="13"/>
  <c r="H38" i="13"/>
  <c r="G39" i="13"/>
  <c r="F40" i="13"/>
  <c r="D29" i="10"/>
  <c r="D35" i="10" s="1"/>
  <c r="L35" i="13"/>
  <c r="K36" i="13"/>
  <c r="I38" i="13"/>
  <c r="I7" i="8"/>
  <c r="I5" i="10" s="1"/>
  <c r="J9" i="10"/>
  <c r="C40" i="10"/>
  <c r="K38" i="10"/>
  <c r="L36" i="13"/>
  <c r="K37" i="13"/>
  <c r="I39" i="13"/>
  <c r="H33" i="13"/>
  <c r="G34" i="13"/>
  <c r="F35" i="13"/>
  <c r="E36" i="13"/>
  <c r="K38" i="13"/>
  <c r="J39" i="13"/>
  <c r="I40" i="13"/>
  <c r="H9" i="10"/>
  <c r="C38" i="13"/>
  <c r="I33" i="13"/>
  <c r="H34" i="13"/>
  <c r="G35" i="13"/>
  <c r="F36" i="13"/>
  <c r="D38" i="13"/>
  <c r="L38" i="13"/>
  <c r="K39" i="13"/>
  <c r="J40" i="13"/>
  <c r="F38" i="10"/>
  <c r="C39" i="13"/>
  <c r="J33" i="13"/>
  <c r="I34" i="13"/>
  <c r="H35" i="13"/>
  <c r="E38" i="13"/>
  <c r="D39" i="13"/>
  <c r="L39" i="13"/>
  <c r="K40" i="13"/>
  <c r="I27" i="10"/>
  <c r="I33" i="10" s="1"/>
  <c r="J28" i="10"/>
  <c r="J34" i="10" s="1"/>
  <c r="F20" i="2"/>
  <c r="G31" i="10"/>
  <c r="E40" i="10"/>
  <c r="I29" i="10"/>
  <c r="I35" i="10" s="1"/>
  <c r="D40" i="10"/>
  <c r="J38" i="10"/>
  <c r="I28" i="10"/>
  <c r="I34" i="10" s="1"/>
  <c r="C30" i="10"/>
  <c r="J31" i="10"/>
  <c r="H31" i="10"/>
  <c r="F40" i="10"/>
  <c r="D28" i="10"/>
  <c r="D34" i="10" s="1"/>
  <c r="H30" i="10"/>
  <c r="J27" i="10"/>
  <c r="J33" i="10" s="1"/>
  <c r="H29" i="10"/>
  <c r="H35" i="10" s="1"/>
  <c r="H36" i="10" s="1"/>
  <c r="J29" i="10"/>
  <c r="J35" i="10" s="1"/>
  <c r="K14" i="1"/>
  <c r="J40" i="10"/>
  <c r="B23" i="2"/>
  <c r="F14" i="3"/>
  <c r="K30" i="10"/>
  <c r="I30" i="10"/>
  <c r="L9" i="10"/>
  <c r="D9" i="10"/>
  <c r="I38" i="10"/>
  <c r="L31" i="10"/>
  <c r="L30" i="10"/>
  <c r="L38" i="10"/>
  <c r="L29" i="10"/>
  <c r="L35" i="10" s="1"/>
  <c r="L28" i="10"/>
  <c r="L34" i="10" s="1"/>
  <c r="L27" i="10"/>
  <c r="L33" i="10" s="1"/>
  <c r="C29" i="10"/>
  <c r="D7" i="8"/>
  <c r="D5" i="10" s="1"/>
  <c r="C28" i="10"/>
  <c r="C34" i="10" s="1"/>
  <c r="C27" i="10"/>
  <c r="C31" i="10"/>
  <c r="C38" i="10"/>
  <c r="G29" i="10"/>
  <c r="G35" i="10" s="1"/>
  <c r="E38" i="10"/>
  <c r="E31" i="10"/>
  <c r="E30" i="10"/>
  <c r="E27" i="10"/>
  <c r="E33" i="10" s="1"/>
  <c r="E29" i="10"/>
  <c r="E35" i="10" s="1"/>
  <c r="E28" i="10"/>
  <c r="E34" i="10" s="1"/>
  <c r="E36" i="10" s="1"/>
  <c r="F9" i="10"/>
  <c r="G9" i="10"/>
  <c r="G40" i="10"/>
  <c r="G38" i="10"/>
  <c r="L7" i="8"/>
  <c r="L5" i="10" s="1"/>
  <c r="H40" i="10"/>
  <c r="E7" i="8"/>
  <c r="E5" i="10" s="1"/>
  <c r="H38" i="10"/>
  <c r="J7" i="8"/>
  <c r="J5" i="10" s="1"/>
  <c r="D27" i="10"/>
  <c r="D33" i="10" s="1"/>
  <c r="K29" i="10"/>
  <c r="K35" i="10" s="1"/>
  <c r="I31" i="10"/>
  <c r="K40" i="10"/>
  <c r="K27" i="10"/>
  <c r="K33" i="10" s="1"/>
  <c r="H7" i="8"/>
  <c r="H5" i="10" s="1"/>
  <c r="F27" i="10"/>
  <c r="F33" i="10" s="1"/>
  <c r="D30" i="10"/>
  <c r="K31" i="10"/>
  <c r="I40" i="10"/>
  <c r="K28" i="10"/>
  <c r="K34" i="10" s="1"/>
  <c r="G7" i="8"/>
  <c r="G5" i="10" s="1"/>
  <c r="G27" i="10"/>
  <c r="G33" i="10" s="1"/>
  <c r="F28" i="10"/>
  <c r="F34" i="10" s="1"/>
  <c r="F29" i="10"/>
  <c r="F35" i="10" s="1"/>
  <c r="D31" i="10"/>
  <c r="B15" i="11"/>
  <c r="K7" i="8"/>
  <c r="K5" i="10" s="1"/>
  <c r="F7" i="8"/>
  <c r="F5" i="10" s="1"/>
  <c r="G28" i="10"/>
  <c r="G34" i="10" s="1"/>
  <c r="L15" i="11"/>
  <c r="G15" i="11"/>
  <c r="D9" i="11"/>
  <c r="D8" i="11"/>
  <c r="D10" i="11"/>
  <c r="D7" i="11"/>
  <c r="D6" i="11"/>
  <c r="D11" i="11"/>
  <c r="D13" i="11"/>
  <c r="D5" i="11"/>
  <c r="E5" i="11" s="1"/>
  <c r="D12" i="11"/>
  <c r="E12" i="11" s="1"/>
  <c r="F21" i="2"/>
  <c r="K16" i="2"/>
  <c r="C16" i="2"/>
  <c r="F16" i="2"/>
  <c r="D20" i="2"/>
  <c r="J21" i="2"/>
  <c r="J20" i="2"/>
  <c r="C14" i="1"/>
  <c r="G21" i="2"/>
  <c r="C6" i="1"/>
  <c r="C19" i="1" s="1"/>
  <c r="E14" i="3"/>
  <c r="H57" i="8"/>
  <c r="F57" i="8"/>
  <c r="L57" i="8"/>
  <c r="H62" i="8"/>
  <c r="I57" i="8"/>
  <c r="G57" i="8"/>
  <c r="D62" i="8"/>
  <c r="L62" i="8"/>
  <c r="J62" i="8"/>
  <c r="C62" i="8"/>
  <c r="K62" i="8"/>
  <c r="I62" i="8"/>
  <c r="E62" i="8"/>
  <c r="I12" i="8"/>
  <c r="I13" i="8" s="1"/>
  <c r="I11" i="10" s="1"/>
  <c r="K57" i="8"/>
  <c r="D57" i="8"/>
  <c r="F62" i="8"/>
  <c r="M36" i="8"/>
  <c r="G62" i="8"/>
  <c r="B16" i="2"/>
  <c r="A1" i="2"/>
  <c r="A1" i="4" s="1"/>
  <c r="C57" i="8"/>
  <c r="E57" i="8"/>
  <c r="E21" i="2"/>
  <c r="J57" i="8"/>
  <c r="F12" i="8"/>
  <c r="F13" i="8" s="1"/>
  <c r="F11" i="10" s="1"/>
  <c r="E12" i="8"/>
  <c r="D16" i="8"/>
  <c r="D17" i="10" s="1"/>
  <c r="I25" i="8"/>
  <c r="I18" i="10" s="1"/>
  <c r="F25" i="8"/>
  <c r="F18" i="10" s="1"/>
  <c r="H25" i="8"/>
  <c r="H18" i="10" s="1"/>
  <c r="G25" i="8"/>
  <c r="G18" i="10" s="1"/>
  <c r="I16" i="8"/>
  <c r="I17" i="10" s="1"/>
  <c r="K22" i="8"/>
  <c r="M22" i="8"/>
  <c r="C10" i="8"/>
  <c r="C25" i="8"/>
  <c r="C18" i="10" s="1"/>
  <c r="E25" i="8"/>
  <c r="E18" i="10" s="1"/>
  <c r="L25" i="8"/>
  <c r="L18" i="10" s="1"/>
  <c r="D25" i="8"/>
  <c r="D18" i="10" s="1"/>
  <c r="G12" i="8"/>
  <c r="K25" i="8"/>
  <c r="K18" i="10" s="1"/>
  <c r="M25" i="8"/>
  <c r="J25" i="8"/>
  <c r="J18" i="10" s="1"/>
  <c r="D10" i="8"/>
  <c r="L10" i="8"/>
  <c r="M10" i="8"/>
  <c r="I22" i="8"/>
  <c r="C16" i="8"/>
  <c r="C17" i="10" s="1"/>
  <c r="E16" i="8"/>
  <c r="E17" i="10" s="1"/>
  <c r="L16" i="8"/>
  <c r="L17" i="10" s="1"/>
  <c r="C12" i="8"/>
  <c r="K16" i="8"/>
  <c r="K17" i="10" s="1"/>
  <c r="C22" i="8"/>
  <c r="B20" i="2"/>
  <c r="I14" i="3"/>
  <c r="F14" i="1"/>
  <c r="I23" i="1"/>
  <c r="L12" i="1"/>
  <c r="L13" i="1" s="1"/>
  <c r="L14" i="1" s="1"/>
  <c r="L25" i="1" s="1"/>
  <c r="G14" i="3"/>
  <c r="H16" i="2"/>
  <c r="D23" i="2"/>
  <c r="G23" i="2"/>
  <c r="K20" i="2"/>
  <c r="H14" i="3"/>
  <c r="E10" i="8"/>
  <c r="L22" i="8"/>
  <c r="D22" i="8"/>
  <c r="L10" i="1"/>
  <c r="B21" i="2"/>
  <c r="C21" i="2"/>
  <c r="L11" i="1"/>
  <c r="B14" i="3"/>
  <c r="E1" i="3"/>
  <c r="G10" i="8"/>
  <c r="J16" i="8"/>
  <c r="J17" i="10" s="1"/>
  <c r="H23" i="1"/>
  <c r="E1" i="2"/>
  <c r="D14" i="3"/>
  <c r="J10" i="8"/>
  <c r="H10" i="8"/>
  <c r="H12" i="8"/>
  <c r="J22" i="8"/>
  <c r="I16" i="2"/>
  <c r="I10" i="8"/>
  <c r="H16" i="8"/>
  <c r="H17" i="10" s="1"/>
  <c r="H22" i="8"/>
  <c r="L12" i="8"/>
  <c r="G16" i="8"/>
  <c r="G17" i="10" s="1"/>
  <c r="G22" i="8"/>
  <c r="F16" i="8"/>
  <c r="F17" i="10" s="1"/>
  <c r="F22" i="8"/>
  <c r="F10" i="8"/>
  <c r="K6" i="1"/>
  <c r="K19" i="1" s="1"/>
  <c r="H21" i="2"/>
  <c r="B13" i="1"/>
  <c r="B14" i="1" s="1"/>
  <c r="J12" i="8"/>
  <c r="M16" i="8"/>
  <c r="F23" i="2"/>
  <c r="K21" i="2"/>
  <c r="J14" i="1"/>
  <c r="I21" i="2"/>
  <c r="K10" i="8"/>
  <c r="K12" i="8"/>
  <c r="D16" i="2"/>
  <c r="K23" i="2"/>
  <c r="K24" i="2"/>
  <c r="D12" i="8"/>
  <c r="E22" i="8"/>
  <c r="L6" i="1"/>
  <c r="J23" i="1"/>
  <c r="G6" i="1"/>
  <c r="G19" i="1" s="1"/>
  <c r="L5" i="1"/>
  <c r="L4" i="1"/>
  <c r="L23" i="1" s="1"/>
  <c r="J6" i="1"/>
  <c r="J19" i="1" s="1"/>
  <c r="C20" i="2"/>
  <c r="D6" i="1"/>
  <c r="D19" i="1" s="1"/>
  <c r="G16" i="2"/>
  <c r="D21" i="2"/>
  <c r="E20" i="2"/>
  <c r="I6" i="1"/>
  <c r="I19" i="1" s="1"/>
  <c r="H23" i="2"/>
  <c r="G14" i="1"/>
  <c r="F24" i="2"/>
  <c r="J16" i="2"/>
  <c r="E24" i="2"/>
  <c r="I23" i="2"/>
  <c r="G20" i="2"/>
  <c r="J14" i="3"/>
  <c r="C23" i="2"/>
  <c r="J24" i="2"/>
  <c r="D24" i="2"/>
  <c r="I24" i="2"/>
  <c r="I14" i="1"/>
  <c r="C24" i="2"/>
  <c r="H24" i="2"/>
  <c r="H14" i="1"/>
  <c r="G24" i="2"/>
  <c r="D13" i="1"/>
  <c r="E13" i="1" s="1"/>
  <c r="E14" i="1" s="1"/>
  <c r="B6" i="1"/>
  <c r="B19" i="1" s="1"/>
  <c r="L9" i="1"/>
  <c r="M9" i="1" s="1"/>
  <c r="L8" i="1"/>
  <c r="N8" i="1" s="1"/>
  <c r="L7" i="1"/>
  <c r="E16" i="2"/>
  <c r="J23" i="2"/>
  <c r="E23" i="2"/>
  <c r="I20" i="2"/>
  <c r="H20" i="2"/>
  <c r="K23" i="1"/>
  <c r="H6" i="1"/>
  <c r="H19" i="1" s="1"/>
  <c r="F6" i="1"/>
  <c r="F19" i="1" s="1"/>
  <c r="E1" i="4"/>
  <c r="J25" i="1" l="1"/>
  <c r="O9" i="10"/>
  <c r="O34" i="10"/>
  <c r="I36" i="10"/>
  <c r="N11" i="1"/>
  <c r="O30" i="10"/>
  <c r="K25" i="1"/>
  <c r="M25" i="1" s="1"/>
  <c r="M14" i="1" s="1"/>
  <c r="E64" i="8"/>
  <c r="E66" i="8" s="1"/>
  <c r="G36" i="10"/>
  <c r="E6" i="11"/>
  <c r="K36" i="10"/>
  <c r="E9" i="11"/>
  <c r="O28" i="10"/>
  <c r="N40" i="10"/>
  <c r="N28" i="10"/>
  <c r="E10" i="11"/>
  <c r="D36" i="10"/>
  <c r="N9" i="10"/>
  <c r="J36" i="10"/>
  <c r="N27" i="10"/>
  <c r="O27" i="10"/>
  <c r="C33" i="10"/>
  <c r="K24" i="1"/>
  <c r="E7" i="11"/>
  <c r="B16" i="11"/>
  <c r="D15" i="11"/>
  <c r="O17" i="10"/>
  <c r="N17" i="10"/>
  <c r="N34" i="10"/>
  <c r="E8" i="11"/>
  <c r="O40" i="10"/>
  <c r="D14" i="11"/>
  <c r="E14" i="11" s="1"/>
  <c r="N5" i="10"/>
  <c r="O5" i="10"/>
  <c r="E13" i="11"/>
  <c r="F36" i="10"/>
  <c r="N38" i="10"/>
  <c r="O38" i="10"/>
  <c r="N29" i="10"/>
  <c r="O29" i="10"/>
  <c r="C35" i="10"/>
  <c r="N30" i="10"/>
  <c r="L36" i="10"/>
  <c r="O18" i="10"/>
  <c r="N18" i="10"/>
  <c r="E11" i="11"/>
  <c r="O31" i="10"/>
  <c r="N31" i="10"/>
  <c r="L16" i="11"/>
  <c r="G16" i="11"/>
  <c r="M11" i="1"/>
  <c r="F64" i="8"/>
  <c r="L64" i="8"/>
  <c r="K64" i="8"/>
  <c r="J64" i="8"/>
  <c r="C64" i="8"/>
  <c r="H64" i="8"/>
  <c r="I18" i="8"/>
  <c r="H35" i="15" s="1"/>
  <c r="G64" i="8"/>
  <c r="I64" i="8"/>
  <c r="D64" i="8"/>
  <c r="H24" i="1"/>
  <c r="N9" i="1"/>
  <c r="F18" i="8"/>
  <c r="E18" i="8"/>
  <c r="E13" i="8"/>
  <c r="E11" i="10" s="1"/>
  <c r="M18" i="8"/>
  <c r="G18" i="8"/>
  <c r="G13" i="8"/>
  <c r="G11" i="10" s="1"/>
  <c r="K18" i="8"/>
  <c r="J35" i="15" s="1"/>
  <c r="K13" i="8"/>
  <c r="K11" i="10" s="1"/>
  <c r="L18" i="8"/>
  <c r="K35" i="15" s="1"/>
  <c r="L13" i="8"/>
  <c r="L11" i="10" s="1"/>
  <c r="D18" i="8"/>
  <c r="D13" i="8"/>
  <c r="D11" i="10" s="1"/>
  <c r="J18" i="8"/>
  <c r="I35" i="15" s="1"/>
  <c r="J13" i="8"/>
  <c r="J11" i="10" s="1"/>
  <c r="H18" i="8"/>
  <c r="G35" i="15" s="1"/>
  <c r="H13" i="8"/>
  <c r="H11" i="10" s="1"/>
  <c r="C18" i="8"/>
  <c r="C13" i="8"/>
  <c r="C11" i="10" s="1"/>
  <c r="M23" i="1"/>
  <c r="M4" i="1" s="1"/>
  <c r="I25" i="1"/>
  <c r="L19" i="1"/>
  <c r="L24" i="1" s="1"/>
  <c r="N23" i="1"/>
  <c r="N4" i="1" s="1"/>
  <c r="M8" i="1"/>
  <c r="I24" i="1"/>
  <c r="J24" i="1"/>
  <c r="D14" i="1"/>
  <c r="H25" i="1" s="1"/>
  <c r="H37" i="15" l="1"/>
  <c r="H45" i="15"/>
  <c r="H47" i="15" s="1"/>
  <c r="H51" i="15" s="1"/>
  <c r="K37" i="15"/>
  <c r="K45" i="15"/>
  <c r="K47" i="15" s="1"/>
  <c r="K51" i="15" s="1"/>
  <c r="K58" i="15" s="1"/>
  <c r="I37" i="15"/>
  <c r="I59" i="15" s="1"/>
  <c r="I45" i="15"/>
  <c r="I47" i="15" s="1"/>
  <c r="G45" i="15"/>
  <c r="G47" i="15" s="1"/>
  <c r="G37" i="15"/>
  <c r="G59" i="15" s="1"/>
  <c r="J37" i="15"/>
  <c r="J45" i="15"/>
  <c r="J47" i="15" s="1"/>
  <c r="K59" i="15"/>
  <c r="C36" i="10"/>
  <c r="N36" i="10" s="1"/>
  <c r="J59" i="15"/>
  <c r="M24" i="1"/>
  <c r="M6" i="1" s="1"/>
  <c r="M10" i="1" s="1"/>
  <c r="M12" i="1" s="1"/>
  <c r="M13" i="1" s="1"/>
  <c r="M15" i="1" s="1"/>
  <c r="H59" i="15"/>
  <c r="E39" i="10"/>
  <c r="G21" i="10"/>
  <c r="G6" i="10"/>
  <c r="G25" i="10"/>
  <c r="G13" i="10"/>
  <c r="G19" i="10" s="1"/>
  <c r="D66" i="8"/>
  <c r="D39" i="10"/>
  <c r="D6" i="10"/>
  <c r="D25" i="10"/>
  <c r="D13" i="10"/>
  <c r="D19" i="10" s="1"/>
  <c r="D21" i="10"/>
  <c r="B17" i="11"/>
  <c r="D16" i="11"/>
  <c r="E16" i="11" s="1"/>
  <c r="F66" i="8"/>
  <c r="F39" i="10"/>
  <c r="O11" i="10"/>
  <c r="N11" i="10"/>
  <c r="I19" i="8"/>
  <c r="I12" i="10" s="1"/>
  <c r="I21" i="10"/>
  <c r="I13" i="10"/>
  <c r="I19" i="10" s="1"/>
  <c r="I25" i="10"/>
  <c r="I6" i="10"/>
  <c r="L6" i="10"/>
  <c r="L21" i="10"/>
  <c r="L25" i="10"/>
  <c r="L13" i="10"/>
  <c r="L19" i="10" s="1"/>
  <c r="J25" i="10"/>
  <c r="J13" i="10"/>
  <c r="J19" i="10" s="1"/>
  <c r="J21" i="10"/>
  <c r="J6" i="10"/>
  <c r="G66" i="8"/>
  <c r="G39" i="10"/>
  <c r="F19" i="8"/>
  <c r="F12" i="10" s="1"/>
  <c r="F13" i="10"/>
  <c r="F19" i="10" s="1"/>
  <c r="F21" i="10"/>
  <c r="F6" i="10"/>
  <c r="F25" i="10"/>
  <c r="C66" i="8"/>
  <c r="C39" i="10"/>
  <c r="O35" i="10"/>
  <c r="N35" i="10"/>
  <c r="N33" i="10"/>
  <c r="O33" i="10"/>
  <c r="K66" i="8"/>
  <c r="K39" i="10"/>
  <c r="L66" i="8"/>
  <c r="L39" i="10"/>
  <c r="I66" i="8"/>
  <c r="I39" i="10"/>
  <c r="I4" i="11" a="1"/>
  <c r="C25" i="10"/>
  <c r="C21" i="10"/>
  <c r="C13" i="10"/>
  <c r="E13" i="10"/>
  <c r="E19" i="10" s="1"/>
  <c r="E25" i="10"/>
  <c r="E6" i="10"/>
  <c r="E21" i="10"/>
  <c r="H66" i="8"/>
  <c r="H39" i="10"/>
  <c r="H21" i="10"/>
  <c r="H6" i="10"/>
  <c r="H25" i="10"/>
  <c r="H13" i="10"/>
  <c r="H19" i="10" s="1"/>
  <c r="K6" i="10"/>
  <c r="K25" i="10"/>
  <c r="K13" i="10"/>
  <c r="K19" i="10" s="1"/>
  <c r="K21" i="10"/>
  <c r="J66" i="8"/>
  <c r="J39" i="10"/>
  <c r="E15" i="11"/>
  <c r="L17" i="11"/>
  <c r="G17" i="11"/>
  <c r="I27" i="8"/>
  <c r="F27" i="8"/>
  <c r="L19" i="8"/>
  <c r="L12" i="10" s="1"/>
  <c r="L27" i="8"/>
  <c r="M27" i="8"/>
  <c r="M19" i="8"/>
  <c r="D19" i="8"/>
  <c r="D12" i="10" s="1"/>
  <c r="D27" i="8"/>
  <c r="H19" i="8"/>
  <c r="H12" i="10" s="1"/>
  <c r="H27" i="8"/>
  <c r="K19" i="8"/>
  <c r="K12" i="10" s="1"/>
  <c r="K27" i="8"/>
  <c r="J19" i="8"/>
  <c r="J12" i="10" s="1"/>
  <c r="J27" i="8"/>
  <c r="G19" i="8"/>
  <c r="G12" i="10" s="1"/>
  <c r="G27" i="8"/>
  <c r="E19" i="8"/>
  <c r="E12" i="10" s="1"/>
  <c r="E27" i="8"/>
  <c r="C19" i="8"/>
  <c r="C12" i="10" s="1"/>
  <c r="C27" i="8"/>
  <c r="N25" i="1"/>
  <c r="N14" i="1" s="1"/>
  <c r="N24" i="1"/>
  <c r="N6" i="1" s="1"/>
  <c r="O36" i="10" l="1"/>
  <c r="K61" i="15"/>
  <c r="J51" i="15"/>
  <c r="J58" i="15" s="1"/>
  <c r="J61" i="15" s="1"/>
  <c r="I51" i="15"/>
  <c r="L7" i="10"/>
  <c r="H58" i="15"/>
  <c r="H61" i="15" s="1"/>
  <c r="K7" i="10"/>
  <c r="E7" i="10"/>
  <c r="H7" i="10"/>
  <c r="F31" i="8"/>
  <c r="F7" i="10"/>
  <c r="O21" i="10"/>
  <c r="N21" i="10"/>
  <c r="N25" i="10"/>
  <c r="O25" i="10"/>
  <c r="N13" i="10"/>
  <c r="C19" i="10"/>
  <c r="O13" i="10"/>
  <c r="D7" i="10"/>
  <c r="O6" i="10"/>
  <c r="N6" i="10"/>
  <c r="I4" i="11"/>
  <c r="I7" i="11"/>
  <c r="I8" i="11"/>
  <c r="I9" i="11"/>
  <c r="I10" i="11"/>
  <c r="I11" i="11"/>
  <c r="I5" i="11"/>
  <c r="I12" i="11"/>
  <c r="J12" i="11" s="1"/>
  <c r="I6" i="11"/>
  <c r="I13" i="11"/>
  <c r="J7" i="10"/>
  <c r="N12" i="10"/>
  <c r="O12" i="10"/>
  <c r="G7" i="10"/>
  <c r="I31" i="8"/>
  <c r="I7" i="10"/>
  <c r="B18" i="11"/>
  <c r="D18" i="11" s="1"/>
  <c r="D17" i="11"/>
  <c r="E17" i="11" s="1"/>
  <c r="N39" i="10"/>
  <c r="O39" i="10"/>
  <c r="L18" i="11"/>
  <c r="G18" i="11"/>
  <c r="M5" i="1"/>
  <c r="I33" i="8"/>
  <c r="I28" i="8"/>
  <c r="I14" i="10" s="1"/>
  <c r="F28" i="8"/>
  <c r="F14" i="10" s="1"/>
  <c r="F33" i="8"/>
  <c r="G28" i="8"/>
  <c r="G14" i="10" s="1"/>
  <c r="G33" i="8"/>
  <c r="G31" i="8"/>
  <c r="E33" i="8"/>
  <c r="E31" i="8"/>
  <c r="E28" i="8"/>
  <c r="E14" i="10" s="1"/>
  <c r="H28" i="8"/>
  <c r="H14" i="10" s="1"/>
  <c r="H31" i="8"/>
  <c r="H33" i="8"/>
  <c r="M33" i="8"/>
  <c r="M38" i="8" s="1"/>
  <c r="M28" i="8"/>
  <c r="M31" i="8"/>
  <c r="K33" i="8"/>
  <c r="K31" i="8"/>
  <c r="K28" i="8"/>
  <c r="K14" i="10" s="1"/>
  <c r="J33" i="8"/>
  <c r="J31" i="8"/>
  <c r="J28" i="8"/>
  <c r="J14" i="10" s="1"/>
  <c r="L31" i="8"/>
  <c r="L33" i="8"/>
  <c r="L28" i="8"/>
  <c r="L14" i="10" s="1"/>
  <c r="D31" i="8"/>
  <c r="D33" i="8"/>
  <c r="D28" i="8"/>
  <c r="D14" i="10" s="1"/>
  <c r="C31" i="8"/>
  <c r="C28" i="8"/>
  <c r="C14" i="10" s="1"/>
  <c r="C33" i="8"/>
  <c r="N10" i="1"/>
  <c r="N12" i="1" s="1"/>
  <c r="N13" i="1" s="1"/>
  <c r="N15" i="1" s="1"/>
  <c r="N5" i="1"/>
  <c r="I58" i="15" l="1"/>
  <c r="I61" i="15" s="1"/>
  <c r="K63" i="15" s="1"/>
  <c r="D14" i="28" s="1"/>
  <c r="E4" i="28" s="1"/>
  <c r="K54" i="15"/>
  <c r="D7" i="28" s="1"/>
  <c r="K53" i="15"/>
  <c r="J6" i="11"/>
  <c r="J11" i="11"/>
  <c r="J13" i="11"/>
  <c r="J7" i="11"/>
  <c r="I17" i="11"/>
  <c r="E18" i="11"/>
  <c r="J8" i="11"/>
  <c r="L38" i="8"/>
  <c r="M39" i="8" s="1"/>
  <c r="L8" i="10"/>
  <c r="L23" i="10"/>
  <c r="E38" i="8"/>
  <c r="E23" i="10"/>
  <c r="E8" i="10"/>
  <c r="I18" i="11"/>
  <c r="J5" i="11"/>
  <c r="K38" i="8"/>
  <c r="K8" i="10"/>
  <c r="K23" i="10"/>
  <c r="I38" i="8"/>
  <c r="I42" i="8" s="1"/>
  <c r="I23" i="10"/>
  <c r="I8" i="10"/>
  <c r="O19" i="10"/>
  <c r="N19" i="10"/>
  <c r="C38" i="8"/>
  <c r="C42" i="8" s="1"/>
  <c r="C44" i="8" s="1"/>
  <c r="C22" i="10" s="1"/>
  <c r="C23" i="10"/>
  <c r="H38" i="8"/>
  <c r="H42" i="8" s="1"/>
  <c r="H44" i="8" s="1"/>
  <c r="H22" i="10" s="1"/>
  <c r="H8" i="10"/>
  <c r="H23" i="10"/>
  <c r="J38" i="8"/>
  <c r="J42" i="8" s="1"/>
  <c r="J44" i="8" s="1"/>
  <c r="J22" i="10" s="1"/>
  <c r="J23" i="10"/>
  <c r="J8" i="10"/>
  <c r="F38" i="8"/>
  <c r="F42" i="8" s="1"/>
  <c r="F44" i="8" s="1"/>
  <c r="F22" i="10" s="1"/>
  <c r="F23" i="10"/>
  <c r="F8" i="10"/>
  <c r="J10" i="11"/>
  <c r="O7" i="10"/>
  <c r="N7" i="10"/>
  <c r="I14" i="11"/>
  <c r="J14" i="11" s="1"/>
  <c r="I15" i="11"/>
  <c r="I16" i="11"/>
  <c r="N14" i="10"/>
  <c r="O14" i="10"/>
  <c r="G38" i="8"/>
  <c r="G23" i="10"/>
  <c r="G8" i="10"/>
  <c r="D38" i="8"/>
  <c r="D39" i="8" s="1"/>
  <c r="D23" i="10"/>
  <c r="D8" i="10"/>
  <c r="J9" i="11"/>
  <c r="I34" i="8"/>
  <c r="I15" i="10" s="1"/>
  <c r="K42" i="8"/>
  <c r="K44" i="8" s="1"/>
  <c r="K22" i="10" s="1"/>
  <c r="L42" i="8"/>
  <c r="L44" i="8" s="1"/>
  <c r="L22" i="10" s="1"/>
  <c r="E42" i="8"/>
  <c r="E44" i="8" s="1"/>
  <c r="E22" i="10" s="1"/>
  <c r="E24" i="10" s="1"/>
  <c r="F34" i="8"/>
  <c r="F15" i="10" s="1"/>
  <c r="E34" i="8"/>
  <c r="E15" i="10" s="1"/>
  <c r="M34" i="8"/>
  <c r="G34" i="8"/>
  <c r="G15" i="10" s="1"/>
  <c r="L34" i="8"/>
  <c r="L15" i="10" s="1"/>
  <c r="J34" i="8"/>
  <c r="J15" i="10" s="1"/>
  <c r="H34" i="8"/>
  <c r="H15" i="10" s="1"/>
  <c r="D34" i="8"/>
  <c r="D15" i="10" s="1"/>
  <c r="K34" i="8"/>
  <c r="K15" i="10" s="1"/>
  <c r="C34" i="8"/>
  <c r="C15" i="10" s="1"/>
  <c r="E7" i="28" l="1"/>
  <c r="F7" i="28" s="1"/>
  <c r="G7" i="28" s="1"/>
  <c r="H7" i="28" s="1"/>
  <c r="I7" i="28" s="1"/>
  <c r="D8" i="28"/>
  <c r="E6" i="28"/>
  <c r="F4" i="28"/>
  <c r="I39" i="8"/>
  <c r="L24" i="10"/>
  <c r="J24" i="10"/>
  <c r="K24" i="10"/>
  <c r="K64" i="15"/>
  <c r="K39" i="8"/>
  <c r="J17" i="11"/>
  <c r="G39" i="8"/>
  <c r="F39" i="8"/>
  <c r="E8" i="28"/>
  <c r="E12" i="28" s="1"/>
  <c r="H24" i="10"/>
  <c r="I44" i="8"/>
  <c r="I22" i="10" s="1"/>
  <c r="I24" i="10" s="1"/>
  <c r="G42" i="8"/>
  <c r="G44" i="8" s="1"/>
  <c r="G22" i="10" s="1"/>
  <c r="G24" i="10" s="1"/>
  <c r="D42" i="8"/>
  <c r="D44" i="8" s="1"/>
  <c r="D22" i="10" s="1"/>
  <c r="D24" i="10" s="1"/>
  <c r="F24" i="10"/>
  <c r="J18" i="11"/>
  <c r="J39" i="8"/>
  <c r="O8" i="10"/>
  <c r="N8" i="10"/>
  <c r="J16" i="11"/>
  <c r="O23" i="10"/>
  <c r="N23" i="10"/>
  <c r="C24" i="10"/>
  <c r="J15" i="11"/>
  <c r="N4" i="11" a="1"/>
  <c r="N15" i="10"/>
  <c r="O15" i="10"/>
  <c r="L39" i="8"/>
  <c r="H39" i="8"/>
  <c r="E39" i="8"/>
  <c r="O22" i="10" l="1"/>
  <c r="G4" i="28"/>
  <c r="F6" i="28"/>
  <c r="N22" i="10"/>
  <c r="N24" i="10"/>
  <c r="O24" i="10"/>
  <c r="N4" i="11"/>
  <c r="N7" i="11"/>
  <c r="N9" i="11"/>
  <c r="N10" i="11"/>
  <c r="N11" i="11"/>
  <c r="N12" i="11"/>
  <c r="O12" i="11" s="1"/>
  <c r="N8" i="11"/>
  <c r="N6" i="11"/>
  <c r="N13" i="11"/>
  <c r="N5" i="11"/>
  <c r="O10" i="11" l="1"/>
  <c r="H4" i="28"/>
  <c r="G6" i="28"/>
  <c r="O5" i="11"/>
  <c r="O11" i="11"/>
  <c r="F8" i="28"/>
  <c r="F12" i="28" s="1"/>
  <c r="O9" i="11"/>
  <c r="O13" i="11"/>
  <c r="N14" i="11"/>
  <c r="O14" i="11" s="1"/>
  <c r="N15" i="11"/>
  <c r="N16" i="11"/>
  <c r="N17" i="11"/>
  <c r="O17" i="11" s="1"/>
  <c r="N18" i="11"/>
  <c r="O7" i="11"/>
  <c r="O6" i="11"/>
  <c r="O8" i="11"/>
  <c r="I4" i="28" l="1"/>
  <c r="I6" i="28" s="1"/>
  <c r="H6" i="28"/>
  <c r="G8" i="28"/>
  <c r="G12" i="28" s="1"/>
  <c r="O15" i="11"/>
  <c r="O18" i="11"/>
  <c r="O16" i="11"/>
  <c r="I8" i="28" l="1"/>
  <c r="D20" i="28" s="1"/>
  <c r="D24" i="28" s="1"/>
  <c r="D29" i="28" s="1"/>
  <c r="H8" i="28"/>
  <c r="H12" i="28" s="1"/>
  <c r="I12" i="28" l="1"/>
  <c r="D28" i="28" s="1"/>
  <c r="D30" i="28" l="1"/>
  <c r="D34" i="28" s="1"/>
  <c r="D37" i="28" l="1"/>
  <c r="D41" i="28" l="1"/>
  <c r="D40" i="2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<sst xmlns="http://schemas.openxmlformats.org/spreadsheetml/2006/main" count="790" uniqueCount="415">
  <si>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</si>
  <si>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</si>
  <si>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</si>
  <si>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</si>
  <si>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</si>
  <si>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</si>
  <si>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</si>
  <si>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</si>
  <si>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</si>
  <si>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</si>
  <si>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</si>
  <si>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</si>
  <si>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</si>
  <si>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</si>
  <si>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</si>
  <si>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</si>
  <si>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</si>
  <si>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</si>
  <si>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</si>
  <si>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</si>
  <si>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</si>
  <si>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</si>
  <si>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</si>
  <si>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</si>
  <si>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</si>
  <si>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</si>
  <si>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</si>
  <si>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</si>
  <si>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</si>
  <si>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</si>
  <si>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Regression Beta - 5 Years Monthly</t>
  </si>
  <si>
    <t>Titan Company Monthly Returns</t>
  </si>
  <si>
    <t>NIFTY Returns</t>
  </si>
  <si>
    <t>Beta Drifting</t>
  </si>
  <si>
    <t>Beta 1</t>
  </si>
  <si>
    <t>Date</t>
  </si>
  <si>
    <t>Closing Price</t>
  </si>
  <si>
    <t>Return</t>
  </si>
  <si>
    <t>Levered Raw Beta</t>
  </si>
  <si>
    <t>Beta 2</t>
  </si>
  <si>
    <t>Raw Beta Weight</t>
  </si>
  <si>
    <t>Beta 3</t>
  </si>
  <si>
    <t>Market Beta</t>
  </si>
  <si>
    <t>Market Beta Weight</t>
  </si>
  <si>
    <t>Adjusted Beta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</si>
  <si>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</si>
  <si>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</si>
  <si>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</si>
  <si>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</si>
  <si>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</si>
  <si>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</si>
  <si>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</si>
  <si>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</si>
  <si>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</si>
  <si>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</si>
  <si>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</si>
  <si>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</si>
  <si>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</si>
  <si>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</si>
  <si>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</si>
  <si>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</si>
  <si>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</si>
  <si>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</si>
  <si>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</si>
  <si>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</si>
  <si>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</si>
  <si>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</si>
  <si>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</si>
  <si>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</si>
  <si>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</si>
  <si>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 xml:space="preserve">Regression Beta - 5 Monthly </t>
  </si>
  <si>
    <t>Bluestone Jewel Monthly Returns</t>
  </si>
  <si>
    <t>Adj Close </t>
  </si>
  <si>
    <t>Kalyan Jewellery Monthly Returns</t>
  </si>
  <si>
    <t xml:space="preserve">Closing Price </t>
  </si>
  <si>
    <t>Returns</t>
  </si>
  <si>
    <t>Thangamayil Monthly Returns</t>
  </si>
  <si>
    <t>P N Gadgil Jewel Monthly Returns</t>
  </si>
  <si>
    <t>PC Jeweller Monthly Returns</t>
  </si>
  <si>
    <t>Return on Markets</t>
  </si>
  <si>
    <t>Year</t>
  </si>
  <si>
    <t>Annual</t>
  </si>
  <si>
    <t>Average Return</t>
  </si>
  <si>
    <t>Dividend Yield</t>
  </si>
  <si>
    <r>
      <t xml:space="preserve">1.16% </t>
    </r>
    <r>
      <rPr>
        <vertAlign val="superscript"/>
        <sz val="11"/>
        <color theme="1"/>
        <rFont val="Calibri"/>
        <family val="2"/>
      </rPr>
      <t>1</t>
    </r>
  </si>
  <si>
    <t>Total Market Return</t>
  </si>
  <si>
    <t>S.No.</t>
  </si>
  <si>
    <t>Name</t>
  </si>
  <si>
    <t>CMP Rs.</t>
  </si>
  <si>
    <t xml:space="preserve">Mar Cap Rs.Cr. </t>
  </si>
  <si>
    <t>Debt Rs.Cr.</t>
  </si>
  <si>
    <t>Debt / Eq</t>
  </si>
  <si>
    <t>Titan Company</t>
  </si>
  <si>
    <t>Kalyan Jewellers</t>
  </si>
  <si>
    <t>Thangamayil Jew.</t>
  </si>
  <si>
    <t>P N Gadgil Jewe.</t>
  </si>
  <si>
    <t>PC Jeweller</t>
  </si>
  <si>
    <t>Bluestone Jewel</t>
  </si>
  <si>
    <t>Years</t>
  </si>
  <si>
    <t>LTM</t>
  </si>
  <si>
    <t>#</t>
  </si>
  <si>
    <t>Income Statement</t>
  </si>
  <si>
    <t>-</t>
  </si>
  <si>
    <t>COGS</t>
  </si>
  <si>
    <t>COGS % Sales</t>
  </si>
  <si>
    <t>Gross Profit</t>
  </si>
  <si>
    <t>Gross Margins</t>
  </si>
  <si>
    <t>Selling &amp; General Expenses</t>
  </si>
  <si>
    <t>S&amp;G Exp % Sales</t>
  </si>
  <si>
    <t>EBITDA</t>
  </si>
  <si>
    <t>EBITDA Margins</t>
  </si>
  <si>
    <t>Interest % Sales</t>
  </si>
  <si>
    <t>Depreciation % Sales</t>
  </si>
  <si>
    <t>Earnings Before Tax</t>
  </si>
  <si>
    <t>EBT % Sales</t>
  </si>
  <si>
    <t>Effective Tax Rate</t>
  </si>
  <si>
    <t>Net Profit</t>
  </si>
  <si>
    <t>Net Margins</t>
  </si>
  <si>
    <t>No of Equity Shares</t>
  </si>
  <si>
    <t>Earning Per Share</t>
  </si>
  <si>
    <t>EPS Growth%</t>
  </si>
  <si>
    <t>Dividend Per Share</t>
  </si>
  <si>
    <t>Dividend Payout ratio</t>
  </si>
  <si>
    <t>Retained Earnings</t>
  </si>
  <si>
    <t>Balance Sheet</t>
  </si>
  <si>
    <t>Equity Share Capital</t>
  </si>
  <si>
    <t>Reserves</t>
  </si>
  <si>
    <t>Borrowings</t>
  </si>
  <si>
    <t>Other Liabilities</t>
  </si>
  <si>
    <t>Total Liabilities</t>
  </si>
  <si>
    <t>Fixed Assets Net Block</t>
  </si>
  <si>
    <t>Capital Work in Progress</t>
  </si>
  <si>
    <t>Investments</t>
  </si>
  <si>
    <t>Other Assets</t>
  </si>
  <si>
    <t>Total Non Current Assets</t>
  </si>
  <si>
    <t>Receivables</t>
  </si>
  <si>
    <t>Inventory</t>
  </si>
  <si>
    <t>Cash &amp; Bank</t>
  </si>
  <si>
    <t>Total Current Assets</t>
  </si>
  <si>
    <t>Total Assets</t>
  </si>
  <si>
    <t>Check</t>
  </si>
  <si>
    <t>Cash Flow Statements</t>
  </si>
  <si>
    <t>Cash from Operating Activity</t>
  </si>
  <si>
    <t>Cash from Investing Activity</t>
  </si>
  <si>
    <t>Cash from Financing Activity</t>
  </si>
  <si>
    <t>Net Cash Flow</t>
  </si>
  <si>
    <t>Trend</t>
  </si>
  <si>
    <t>Mean</t>
  </si>
  <si>
    <t>Median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</si>
  <si>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</si>
  <si>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</si>
  <si>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</si>
  <si>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</si>
  <si>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</si>
  <si>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</si>
  <si>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</si>
  <si>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</si>
  <si>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</si>
  <si>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</si>
  <si>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</si>
  <si>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</si>
  <si>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</si>
  <si>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</si>
  <si>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</si>
  <si>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</si>
  <si>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</si>
  <si>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</si>
  <si>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</si>
  <si>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</si>
  <si>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</si>
  <si>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</si>
  <si>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</si>
  <si>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</si>
  <si>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</si>
  <si>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</si>
  <si>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</si>
  <si>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</si>
  <si>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Assets</t>
  </si>
  <si>
    <t>CFO/Total Debt</t>
  </si>
  <si>
    <t>Year Weight</t>
  </si>
  <si>
    <t>EPS Growth</t>
  </si>
  <si>
    <t>Amount in crores</t>
  </si>
  <si>
    <t>Comparable Company valuation</t>
  </si>
  <si>
    <t>Market Data</t>
  </si>
  <si>
    <t xml:space="preserve"> </t>
  </si>
  <si>
    <t xml:space="preserve">Financials </t>
  </si>
  <si>
    <t>Valuation</t>
  </si>
  <si>
    <t xml:space="preserve">Company </t>
  </si>
  <si>
    <t>Ticker</t>
  </si>
  <si>
    <t>Share Price</t>
  </si>
  <si>
    <t>Shares Outstanding</t>
  </si>
  <si>
    <t>Equity Value</t>
  </si>
  <si>
    <t>Net Debt</t>
  </si>
  <si>
    <t>Enterprise Value</t>
  </si>
  <si>
    <t>Revenue</t>
  </si>
  <si>
    <t>Net Income</t>
  </si>
  <si>
    <t>EV/Revenue</t>
  </si>
  <si>
    <t>EV/EBITDA</t>
  </si>
  <si>
    <t>P/E</t>
  </si>
  <si>
    <t>High</t>
  </si>
  <si>
    <t>75th Percentile</t>
  </si>
  <si>
    <t>Average</t>
  </si>
  <si>
    <t>25th Percentile</t>
  </si>
  <si>
    <t>Low</t>
  </si>
  <si>
    <t>Titan Comparable Valuation</t>
  </si>
  <si>
    <t>Implied Enterprise Value</t>
  </si>
  <si>
    <t>Implied Market Value</t>
  </si>
  <si>
    <t>Implied Value per share</t>
  </si>
  <si>
    <t>Source: Screener</t>
  </si>
  <si>
    <t>No. Eq. Shares Cr.</t>
  </si>
  <si>
    <t>Market cap</t>
  </si>
  <si>
    <t>Cash End Rs.Cr.</t>
  </si>
  <si>
    <t>EV</t>
  </si>
  <si>
    <t>Sales Rs.Cr.</t>
  </si>
  <si>
    <t>NP 12M Rs.Cr.</t>
  </si>
  <si>
    <t>Ethos</t>
  </si>
  <si>
    <t>Sky Gold &amp; Diam.</t>
  </si>
  <si>
    <t>Senco Gold</t>
  </si>
  <si>
    <t>Goldiam Intl.</t>
  </si>
  <si>
    <t>Vaibhav Global</t>
  </si>
  <si>
    <t>Rajesh Exports</t>
  </si>
  <si>
    <t>KDDL Ltd</t>
  </si>
  <si>
    <t>Timex Group</t>
  </si>
  <si>
    <t>D.P. Abhushan</t>
  </si>
  <si>
    <t>Shringar House</t>
  </si>
  <si>
    <t>Khazanchi Jewell</t>
  </si>
  <si>
    <t>Motisons Jewel</t>
  </si>
  <si>
    <t>Shanti Gold</t>
  </si>
  <si>
    <t>Laxmi Goldorna</t>
  </si>
  <si>
    <t>PNGS Reva Diamo.</t>
  </si>
  <si>
    <t>Renaiss. Global</t>
  </si>
  <si>
    <t>Asian Star Co.</t>
  </si>
  <si>
    <t>PNGS Gargi FJ</t>
  </si>
  <si>
    <t>T B Z</t>
  </si>
  <si>
    <t>Manoj Vaibhav</t>
  </si>
  <si>
    <t>Radhika Jeweltec</t>
  </si>
  <si>
    <t>Foce India</t>
  </si>
  <si>
    <t>RBZ Jewellers Lt</t>
  </si>
  <si>
    <t>Manbro Indust.</t>
  </si>
  <si>
    <t>Particulars</t>
  </si>
  <si>
    <t>Calculation of PV and FCFF</t>
  </si>
  <si>
    <t>EBIT</t>
  </si>
  <si>
    <t>Tax Rate</t>
  </si>
  <si>
    <t>EBIT(1-T)</t>
  </si>
  <si>
    <t>Less: Reinvestment Rate</t>
  </si>
  <si>
    <t>Free Cash Flow to Firm (FCFF)</t>
  </si>
  <si>
    <t>Mid Year Convention</t>
  </si>
  <si>
    <t>Discounting Factor</t>
  </si>
  <si>
    <t>PV of FCFF</t>
  </si>
  <si>
    <t>Expected Growth</t>
  </si>
  <si>
    <t>Terminal Growth</t>
  </si>
  <si>
    <t>WACC</t>
  </si>
  <si>
    <t>Calculation of Terminal Value</t>
  </si>
  <si>
    <t>FCFF (n+1)</t>
  </si>
  <si>
    <t>Terminal Growth Rate</t>
  </si>
  <si>
    <t>Terminal Value</t>
  </si>
  <si>
    <t>Calculation of Equity Value per Share</t>
  </si>
  <si>
    <t>PV of Terminal value</t>
  </si>
  <si>
    <t>Value of Operating Assets</t>
  </si>
  <si>
    <t>Add: Cash</t>
  </si>
  <si>
    <t>Less: Debt</t>
  </si>
  <si>
    <t>Value of Equity</t>
  </si>
  <si>
    <t>No. of Shares</t>
  </si>
  <si>
    <t>Equity Value Per Share</t>
  </si>
  <si>
    <t>Discount/premium</t>
  </si>
  <si>
    <t>Calculation of ROIC</t>
  </si>
  <si>
    <t>Current Assets</t>
  </si>
  <si>
    <t>Current Liabilitites</t>
  </si>
  <si>
    <t>Total Current Liabilities</t>
  </si>
  <si>
    <t>Net Working Capital</t>
  </si>
  <si>
    <t>Non Current Assets</t>
  </si>
  <si>
    <t>Gross Block</t>
  </si>
  <si>
    <t>Net Non Current Assets</t>
  </si>
  <si>
    <t>Invested Capital</t>
  </si>
  <si>
    <t>ROIC</t>
  </si>
  <si>
    <t>Calculation of Reinvestment Rate</t>
  </si>
  <si>
    <t>Net Capex</t>
  </si>
  <si>
    <t>Change in Working Capital</t>
  </si>
  <si>
    <t>Marginal Tax Rate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</si>
  <si>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</si>
  <si>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</si>
  <si>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</si>
  <si>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</si>
  <si>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</si>
  <si>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</si>
  <si>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Weighted Average Cost of Capital</t>
  </si>
  <si>
    <t>All figures are in INR unless stated otherwise.</t>
  </si>
  <si>
    <t>Peer Comps</t>
  </si>
  <si>
    <t>Debt/</t>
  </si>
  <si>
    <t>Levered</t>
  </si>
  <si>
    <t>Unlevered</t>
  </si>
  <si>
    <t>Country</t>
  </si>
  <si>
    <t>Total Debt</t>
  </si>
  <si>
    <t>Total Equity</t>
  </si>
  <si>
    <r>
      <t xml:space="preserve">Tax Rate </t>
    </r>
    <r>
      <rPr>
        <vertAlign val="superscript"/>
        <sz val="11"/>
        <color rgb="FF000000"/>
        <rFont val="Calibri"/>
        <family val="2"/>
      </rPr>
      <t>1</t>
    </r>
  </si>
  <si>
    <t>Equity</t>
  </si>
  <si>
    <t>Capital</t>
  </si>
  <si>
    <r>
      <t xml:space="preserve">Beta </t>
    </r>
    <r>
      <rPr>
        <vertAlign val="superscript"/>
        <sz val="11"/>
        <color rgb="FF000000"/>
        <rFont val="Calibri"/>
        <family val="2"/>
      </rPr>
      <t>2</t>
    </r>
  </si>
  <si>
    <r>
      <t xml:space="preserve">Beta </t>
    </r>
    <r>
      <rPr>
        <vertAlign val="superscript"/>
        <sz val="11"/>
        <color rgb="FF000000"/>
        <rFont val="Calibri"/>
        <family val="2"/>
      </rPr>
      <t>3</t>
    </r>
  </si>
  <si>
    <t>India</t>
  </si>
  <si>
    <t>Cost of Debt</t>
  </si>
  <si>
    <t>Cost of Equity</t>
  </si>
  <si>
    <t>Pre-tax Cost of Debt</t>
  </si>
  <si>
    <t>Risk Free Rate</t>
  </si>
  <si>
    <t>Equity Risk Premium</t>
  </si>
  <si>
    <t>After Tax Cost of Debt</t>
  </si>
  <si>
    <r>
      <t xml:space="preserve">Levered Beta </t>
    </r>
    <r>
      <rPr>
        <vertAlign val="superscript"/>
        <sz val="11"/>
        <color rgb="FF000000"/>
        <rFont val="Calibri"/>
        <family val="2"/>
      </rPr>
      <t>4</t>
    </r>
  </si>
  <si>
    <t>Capital Structure</t>
  </si>
  <si>
    <t>Levered Beta</t>
  </si>
  <si>
    <t>Current</t>
  </si>
  <si>
    <t>Target</t>
  </si>
  <si>
    <t>Comps Median Unlevered Beta</t>
  </si>
  <si>
    <t>Target Debt/ Equity</t>
  </si>
  <si>
    <t>Market Capitalization</t>
  </si>
  <si>
    <t>Total Capitalization</t>
  </si>
  <si>
    <t>Debt / Equity</t>
  </si>
  <si>
    <t>1. Tax Rate considered as Marginal Tax Rate for the country</t>
  </si>
  <si>
    <t>Debt Capital</t>
  </si>
  <si>
    <t>2. Levered Beta is based on 5 year monthly data</t>
  </si>
  <si>
    <t>Equity Capital</t>
  </si>
  <si>
    <t>3. Unlevered Beta = Levered Beta/(1+(1-Tax Rate) x Debt/Equity)</t>
  </si>
  <si>
    <t>3. Levered Beta = Unlevered Beta/(1+(1-Tax Rate) x Debt/Equity)</t>
  </si>
  <si>
    <t>4. levered Beta = Unlevered Beta*(1+(1-Tax Rate)*Debt/Equity)</t>
  </si>
  <si>
    <t>Equity Weight</t>
  </si>
  <si>
    <t>Debt Weight</t>
  </si>
  <si>
    <t>Particular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</si>
  <si>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</si>
  <si>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</si>
  <si>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</si>
  <si>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</si>
  <si>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</si>
  <si>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</si>
  <si>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</si>
  <si>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</si>
  <si>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</si>
  <si>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</si>
  <si>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</si>
  <si>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</si>
  <si>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</si>
  <si>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</si>
  <si>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</si>
  <si>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</si>
  <si>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</si>
  <si>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</si>
  <si>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</si>
  <si>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</si>
  <si>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Accumulated Depreciation</t>
  </si>
  <si>
    <t>Net Block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</si>
  <si>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</si>
  <si>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</si>
  <si>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</si>
  <si>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</si>
  <si>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</si>
  <si>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</si>
  <si>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</si>
  <si>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Cash Flows</t>
  </si>
  <si>
    <t>Cash from Operating Activity -</t>
  </si>
  <si>
    <t>Profit from operations</t>
  </si>
  <si>
    <t>Payables</t>
  </si>
  <si>
    <t>Loans Advances</t>
  </si>
  <si>
    <t>Operating borrowings</t>
  </si>
  <si>
    <t>Other WC items</t>
  </si>
  <si>
    <t>Working capital changes</t>
  </si>
  <si>
    <t>Direct taxes</t>
  </si>
  <si>
    <t>Cash from Investing Activity -</t>
  </si>
  <si>
    <t>Fixed assets purchased</t>
  </si>
  <si>
    <t>Fixed assets sold</t>
  </si>
  <si>
    <t>Investments purchased</t>
  </si>
  <si>
    <t>Investments sold</t>
  </si>
  <si>
    <t>Interest received</t>
  </si>
  <si>
    <t>Investment in group cos</t>
  </si>
  <si>
    <t>Acquisition of companies</t>
  </si>
  <si>
    <t>Inter corporate deposits</t>
  </si>
  <si>
    <t>Other investing items</t>
  </si>
  <si>
    <t>Cash from Financing Activity -</t>
  </si>
  <si>
    <t>Proceeds from borrowings</t>
  </si>
  <si>
    <t>Repayment of borrowings</t>
  </si>
  <si>
    <t>Interest paid fin</t>
  </si>
  <si>
    <t>Dividends paid</t>
  </si>
  <si>
    <t>Financial liabilities</t>
  </si>
  <si>
    <t>Share application money</t>
  </si>
  <si>
    <t>Other financing items</t>
  </si>
  <si>
    <t>Working Capital</t>
  </si>
  <si>
    <t>Debtors</t>
  </si>
  <si>
    <t>Return on Equity</t>
  </si>
  <si>
    <t>Return on Capital Emp</t>
  </si>
  <si>
    <t>COMPANY NAME</t>
  </si>
  <si>
    <t>TITAN COMPANY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</si>
  <si>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</si>
  <si>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</si>
  <si>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</si>
  <si>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</si>
  <si>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</si>
  <si>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</si>
  <si>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</si>
  <si>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</si>
  <si>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</si>
  <si>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</si>
  <si>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</si>
  <si>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</si>
  <si>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</si>
  <si>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</si>
  <si>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</si>
  <si>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</si>
  <si>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</si>
  <si>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Quarters</t>
  </si>
  <si>
    <t>BALANCE SHEET</t>
  </si>
  <si>
    <t>No. of Equity Shares</t>
  </si>
  <si>
    <t>New Bonus Shares</t>
  </si>
  <si>
    <t>Face value</t>
  </si>
  <si>
    <t>Other Assets ( w/o cash n equi.)</t>
  </si>
  <si>
    <t>CASH FLOW:</t>
  </si>
  <si>
    <t>PRICE:</t>
  </si>
  <si>
    <t>DERIVED: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</si>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</sst>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 \-"/>
    <numFmt numFmtId="167" formatCode="&quot;₹&quot;\ #,##0.0"/>
    <numFmt numFmtId="168" formatCode="0.00&quot;x&quot;"/>
    <numFmt numFmtId="169" formatCode="0&quot; Days&quot;"/>
    <numFmt numFmtId="170" formatCode="yyyy"/>
    <numFmt numFmtId="171" formatCode="yyyy&quot;A&quot;"/>
    <numFmt numFmtId="172" formatCode="yyyy&quot;E&quot;"/>
    <numFmt numFmtId="173" formatCode="#,##0.0"/>
    <numFmt numFmtId="174" formatCode="#,##0.0;\(#,##0.0\);\-"/>
    <numFmt numFmtId="175" formatCode="mmm/yy&quot;A&quot;"/>
    <numFmt numFmtId="176" formatCode="mmm/yy&quot;F&quot;"/>
    <numFmt numFmtId="177" formatCode="0.000"/>
    <numFmt numFmtId="178" formatCode="0.0000%"/>
    <numFmt numFmtId="179" formatCode="_ * #,##0.000000_ ;_ * \-#,##0.000000_ ;_ * &quot;-&quot;??_ ;_ @_ "/>
    <numFmt numFmtId="180" formatCode="0.00\x"/>
    <numFmt numFmtId="181" formatCode="0.0\x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2060"/>
      <name val="Calibri"/>
      <family val="2"/>
    </font>
    <font>
      <i/>
      <sz val="9"/>
      <color theme="1"/>
      <name val="Calibri"/>
      <family val="2"/>
    </font>
    <font>
      <sz val="11"/>
      <color rgb="FF3333FF"/>
      <name val="Calibri"/>
      <family val="2"/>
    </font>
    <font>
      <sz val="11"/>
      <name val="Calibri"/>
      <family val="2"/>
    </font>
    <font>
      <vertAlign val="superscript"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0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rgb="FF3333FF"/>
      <name val="Calibri"/>
      <family val="2"/>
      <scheme val="minor"/>
    </font>
    <font>
      <sz val="11"/>
      <color rgb="FF333399"/>
      <name val="Calibri"/>
      <family val="2"/>
      <scheme val="minor"/>
    </font>
    <font>
      <b/>
      <sz val="11"/>
      <color rgb="FF00206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theme="7" tint="-0.499984740745262"/>
      </top>
      <bottom/>
      <diagonal/>
    </border>
    <border>
      <left/>
      <right/>
      <top/>
      <bottom style="hair">
        <color theme="7" tint="-0.499984740745262"/>
      </bottom>
      <diagonal/>
    </border>
    <border>
      <left/>
      <right/>
      <top style="hair">
        <color theme="7" tint="-0.499984740745262"/>
      </top>
      <bottom style="hair">
        <color theme="7" tint="-0.499984740745262"/>
      </bottom>
      <diagonal/>
    </border>
    <border>
      <left/>
      <right/>
      <top style="hair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 style="hair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hair">
        <color rgb="FF00206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8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/>
      </bottom>
      <diagonal/>
    </border>
  </borders>
  <cellStyleXfs count="10">
    <xf numFmtId="0" fontId="0" fillId="0" borderId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9" fontId="6" fillId="0" borderId="0" applyFont="0" applyFill="0" applyBorder="0" applyAlignment="0" applyProtection="0"/>
    <xf numFmtId="0" fontId="3" fillId="0" borderId="0"/>
    <xf numFmtId="0" fontId="2" fillId="0" borderId="0"/>
    <xf numFmtId="9" fontId="2" fillId="0" borderId="0" applyFont="0" applyFill="0" applyBorder="0" applyAlignment="0" applyProtection="0"/>
  </cellStyleXfs>
  <cellXfs count="272">
    <xf numFmtId="0" fontId="0" fillId="0" borderId="0" xfId="0"/>
    <xf numFmtId="43" fontId="4" fillId="0" borderId="0" xfId="1" applyFont="1" applyBorder="1"/>
    <xf numFmtId="0" fontId="4" fillId="0" borderId="0" xfId="0" applyFont="1"/>
    <xf numFmtId="0" fontId="9" fillId="0" borderId="0" xfId="0" applyFont="1"/>
    <xf numFmtId="43" fontId="0" fillId="0" borderId="0" xfId="1" applyFont="1" applyBorder="1"/>
    <xf numFmtId="10" fontId="0" fillId="0" borderId="0" xfId="0" applyNumberFormat="1"/>
    <xf numFmtId="43" fontId="6" fillId="0" borderId="0" xfId="1" applyFont="1" applyBorder="1"/>
    <xf numFmtId="9" fontId="6" fillId="0" borderId="0" xfId="1" applyNumberFormat="1" applyFont="1" applyBorder="1"/>
    <xf numFmtId="43" fontId="5" fillId="2" borderId="0" xfId="3" applyNumberFormat="1" applyFont="1" applyBorder="1"/>
    <xf numFmtId="43" fontId="5" fillId="3" borderId="0" xfId="4" applyNumberFormat="1" applyFont="1" applyBorder="1"/>
    <xf numFmtId="9" fontId="4" fillId="0" borderId="0" xfId="6" applyFont="1" applyBorder="1"/>
    <xf numFmtId="0" fontId="5" fillId="5" borderId="0" xfId="0" applyFont="1" applyFill="1"/>
    <xf numFmtId="165" fontId="5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10" fontId="4" fillId="0" borderId="0" xfId="0" applyNumberFormat="1" applyFont="1"/>
    <xf numFmtId="165" fontId="5" fillId="5" borderId="0" xfId="1" applyNumberFormat="1" applyFont="1" applyFill="1" applyBorder="1"/>
    <xf numFmtId="165" fontId="10" fillId="0" borderId="0" xfId="1" applyNumberFormat="1" applyFont="1" applyFill="1" applyBorder="1"/>
    <xf numFmtId="0" fontId="10" fillId="0" borderId="0" xfId="0" applyFont="1"/>
    <xf numFmtId="164" fontId="0" fillId="0" borderId="0" xfId="1" applyNumberFormat="1" applyFont="1" applyBorder="1"/>
    <xf numFmtId="166" fontId="0" fillId="0" borderId="0" xfId="0" applyNumberForma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right"/>
    </xf>
    <xf numFmtId="10" fontId="12" fillId="0" borderId="0" xfId="6" applyNumberFormat="1" applyFont="1"/>
    <xf numFmtId="167" fontId="0" fillId="0" borderId="0" xfId="0" applyNumberFormat="1"/>
    <xf numFmtId="0" fontId="0" fillId="6" borderId="0" xfId="0" applyFill="1"/>
    <xf numFmtId="0" fontId="8" fillId="6" borderId="0" xfId="0" applyFont="1" applyFill="1"/>
    <xf numFmtId="17" fontId="8" fillId="6" borderId="0" xfId="0" applyNumberFormat="1" applyFont="1" applyFill="1"/>
    <xf numFmtId="17" fontId="8" fillId="6" borderId="0" xfId="0" applyNumberFormat="1" applyFont="1" applyFill="1" applyAlignment="1">
      <alignment horizontal="right"/>
    </xf>
    <xf numFmtId="0" fontId="0" fillId="7" borderId="0" xfId="0" applyFill="1"/>
    <xf numFmtId="0" fontId="4" fillId="7" borderId="0" xfId="0" applyFont="1" applyFill="1"/>
    <xf numFmtId="0" fontId="12" fillId="0" borderId="0" xfId="6" applyNumberFormat="1" applyFont="1" applyAlignment="1">
      <alignment horizontal="center"/>
    </xf>
    <xf numFmtId="166" fontId="4" fillId="0" borderId="0" xfId="0" applyNumberFormat="1" applyFont="1"/>
    <xf numFmtId="2" fontId="0" fillId="0" borderId="0" xfId="0" applyNumberFormat="1" applyAlignment="1">
      <alignment horizontal="right"/>
    </xf>
    <xf numFmtId="9" fontId="12" fillId="0" borderId="0" xfId="6" applyFont="1" applyAlignment="1">
      <alignment horizontal="right"/>
    </xf>
    <xf numFmtId="0" fontId="0" fillId="0" borderId="0" xfId="0" applyAlignment="1">
      <alignment horizontal="right"/>
    </xf>
    <xf numFmtId="10" fontId="0" fillId="0" borderId="0" xfId="6" applyNumberFormat="1" applyFont="1" applyAlignment="1">
      <alignment horizontal="right"/>
    </xf>
    <xf numFmtId="0" fontId="4" fillId="6" borderId="0" xfId="0" applyFont="1" applyFill="1"/>
    <xf numFmtId="0" fontId="4" fillId="0" borderId="1" xfId="0" applyFont="1" applyBorder="1"/>
    <xf numFmtId="166" fontId="4" fillId="0" borderId="1" xfId="0" applyNumberFormat="1" applyFont="1" applyBorder="1"/>
    <xf numFmtId="10" fontId="0" fillId="0" borderId="0" xfId="6" applyNumberFormat="1" applyFont="1"/>
    <xf numFmtId="0" fontId="0" fillId="0" borderId="2" xfId="0" applyBorder="1"/>
    <xf numFmtId="10" fontId="0" fillId="0" borderId="2" xfId="6" applyNumberFormat="1" applyFont="1" applyBorder="1"/>
    <xf numFmtId="10" fontId="0" fillId="0" borderId="0" xfId="6" applyNumberFormat="1" applyFont="1" applyBorder="1"/>
    <xf numFmtId="0" fontId="0" fillId="0" borderId="3" xfId="0" applyBorder="1"/>
    <xf numFmtId="10" fontId="0" fillId="0" borderId="3" xfId="6" applyNumberFormat="1" applyFont="1" applyBorder="1"/>
    <xf numFmtId="10" fontId="0" fillId="0" borderId="2" xfId="0" applyNumberFormat="1" applyBorder="1"/>
    <xf numFmtId="10" fontId="0" fillId="0" borderId="3" xfId="0" applyNumberFormat="1" applyBorder="1"/>
    <xf numFmtId="168" fontId="0" fillId="0" borderId="3" xfId="0" applyNumberFormat="1" applyBorder="1"/>
    <xf numFmtId="168" fontId="0" fillId="0" borderId="2" xfId="0" applyNumberFormat="1" applyBorder="1"/>
    <xf numFmtId="168" fontId="0" fillId="0" borderId="0" xfId="0" applyNumberFormat="1"/>
    <xf numFmtId="169" fontId="0" fillId="0" borderId="2" xfId="0" applyNumberFormat="1" applyBorder="1"/>
    <xf numFmtId="169" fontId="0" fillId="0" borderId="0" xfId="0" applyNumberFormat="1"/>
    <xf numFmtId="169" fontId="0" fillId="0" borderId="3" xfId="0" applyNumberFormat="1" applyBorder="1"/>
    <xf numFmtId="0" fontId="0" fillId="6" borderId="2" xfId="0" applyFill="1" applyBorder="1"/>
    <xf numFmtId="0" fontId="0" fillId="6" borderId="3" xfId="0" applyFill="1" applyBorder="1"/>
    <xf numFmtId="43" fontId="4" fillId="0" borderId="4" xfId="1" applyFont="1" applyBorder="1"/>
    <xf numFmtId="166" fontId="4" fillId="0" borderId="4" xfId="0" applyNumberFormat="1" applyFont="1" applyBorder="1"/>
    <xf numFmtId="0" fontId="0" fillId="0" borderId="0" xfId="0" applyAlignment="1">
      <alignment horizontal="left"/>
    </xf>
    <xf numFmtId="170" fontId="0" fillId="0" borderId="0" xfId="0" applyNumberFormat="1"/>
    <xf numFmtId="171" fontId="0" fillId="0" borderId="0" xfId="0" applyNumberFormat="1"/>
    <xf numFmtId="173" fontId="0" fillId="0" borderId="0" xfId="0" applyNumberFormat="1"/>
    <xf numFmtId="0" fontId="0" fillId="8" borderId="0" xfId="0" applyFill="1" applyAlignment="1">
      <alignment horizontal="left"/>
    </xf>
    <xf numFmtId="172" fontId="0" fillId="8" borderId="0" xfId="0" applyNumberFormat="1" applyFill="1"/>
    <xf numFmtId="173" fontId="0" fillId="8" borderId="0" xfId="0" applyNumberFormat="1" applyFill="1"/>
    <xf numFmtId="10" fontId="0" fillId="8" borderId="0" xfId="6" applyNumberFormat="1" applyFont="1" applyFill="1"/>
    <xf numFmtId="0" fontId="0" fillId="0" borderId="0" xfId="0" applyAlignment="1">
      <alignment wrapText="1"/>
    </xf>
    <xf numFmtId="43" fontId="0" fillId="0" borderId="0" xfId="0" applyNumberFormat="1"/>
    <xf numFmtId="17" fontId="4" fillId="0" borderId="0" xfId="0" applyNumberFormat="1" applyFont="1"/>
    <xf numFmtId="43" fontId="4" fillId="0" borderId="0" xfId="0" applyNumberFormat="1" applyFont="1"/>
    <xf numFmtId="10" fontId="4" fillId="0" borderId="0" xfId="6" applyNumberFormat="1" applyFont="1"/>
    <xf numFmtId="0" fontId="3" fillId="0" borderId="0" xfId="7" applyAlignment="1">
      <alignment wrapText="1"/>
    </xf>
    <xf numFmtId="0" fontId="3" fillId="0" borderId="0" xfId="7"/>
    <xf numFmtId="0" fontId="13" fillId="9" borderId="0" xfId="7" applyFont="1" applyFill="1"/>
    <xf numFmtId="17" fontId="13" fillId="9" borderId="0" xfId="7" applyNumberFormat="1" applyFont="1" applyFill="1"/>
    <xf numFmtId="0" fontId="14" fillId="0" borderId="0" xfId="7" applyFont="1"/>
    <xf numFmtId="17" fontId="3" fillId="0" borderId="0" xfId="7" applyNumberFormat="1"/>
    <xf numFmtId="174" fontId="3" fillId="0" borderId="1" xfId="7" applyNumberFormat="1" applyBorder="1"/>
    <xf numFmtId="174" fontId="3" fillId="0" borderId="5" xfId="7" applyNumberFormat="1" applyBorder="1"/>
    <xf numFmtId="0" fontId="14" fillId="0" borderId="6" xfId="7" applyFont="1" applyBorder="1"/>
    <xf numFmtId="174" fontId="14" fillId="0" borderId="6" xfId="7" applyNumberFormat="1" applyFont="1" applyBorder="1"/>
    <xf numFmtId="3" fontId="3" fillId="0" borderId="0" xfId="7" applyNumberFormat="1"/>
    <xf numFmtId="174" fontId="14" fillId="0" borderId="5" xfId="7" applyNumberFormat="1" applyFont="1" applyBorder="1"/>
    <xf numFmtId="0" fontId="14" fillId="0" borderId="7" xfId="7" applyFont="1" applyBorder="1"/>
    <xf numFmtId="174" fontId="3" fillId="0" borderId="7" xfId="7" applyNumberFormat="1" applyBorder="1"/>
    <xf numFmtId="174" fontId="3" fillId="0" borderId="0" xfId="7" applyNumberFormat="1"/>
    <xf numFmtId="174" fontId="14" fillId="0" borderId="1" xfId="7" applyNumberFormat="1" applyFont="1" applyBorder="1"/>
    <xf numFmtId="174" fontId="3" fillId="0" borderId="6" xfId="7" applyNumberFormat="1" applyBorder="1"/>
    <xf numFmtId="0" fontId="14" fillId="0" borderId="8" xfId="7" applyFont="1" applyBorder="1"/>
    <xf numFmtId="0" fontId="13" fillId="9" borderId="0" xfId="0" applyFont="1" applyFill="1"/>
    <xf numFmtId="17" fontId="13" fillId="9" borderId="0" xfId="0" applyNumberFormat="1" applyFont="1" applyFill="1"/>
    <xf numFmtId="0" fontId="14" fillId="0" borderId="0" xfId="0" applyFont="1"/>
    <xf numFmtId="0" fontId="0" fillId="0" borderId="1" xfId="0" applyBorder="1"/>
    <xf numFmtId="174" fontId="0" fillId="0" borderId="1" xfId="0" applyNumberFormat="1" applyBorder="1"/>
    <xf numFmtId="174" fontId="0" fillId="0" borderId="0" xfId="0" applyNumberFormat="1"/>
    <xf numFmtId="0" fontId="14" fillId="0" borderId="9" xfId="0" applyFont="1" applyBorder="1"/>
    <xf numFmtId="0" fontId="0" fillId="0" borderId="9" xfId="0" applyBorder="1"/>
    <xf numFmtId="174" fontId="14" fillId="0" borderId="9" xfId="0" applyNumberFormat="1" applyFont="1" applyBorder="1"/>
    <xf numFmtId="0" fontId="14" fillId="0" borderId="8" xfId="0" applyFont="1" applyBorder="1"/>
    <xf numFmtId="0" fontId="0" fillId="0" borderId="8" xfId="0" applyBorder="1"/>
    <xf numFmtId="174" fontId="14" fillId="0" borderId="8" xfId="0" applyNumberFormat="1" applyFont="1" applyBorder="1"/>
    <xf numFmtId="174" fontId="14" fillId="0" borderId="0" xfId="0" applyNumberFormat="1" applyFont="1"/>
    <xf numFmtId="0" fontId="15" fillId="0" borderId="0" xfId="0" applyFont="1"/>
    <xf numFmtId="10" fontId="14" fillId="0" borderId="8" xfId="6" applyNumberFormat="1" applyFont="1" applyBorder="1"/>
    <xf numFmtId="174" fontId="0" fillId="0" borderId="1" xfId="6" applyNumberFormat="1" applyFont="1" applyBorder="1"/>
    <xf numFmtId="0" fontId="0" fillId="0" borderId="10" xfId="0" applyBorder="1"/>
    <xf numFmtId="0" fontId="14" fillId="8" borderId="0" xfId="0" applyFont="1" applyFill="1"/>
    <xf numFmtId="10" fontId="14" fillId="8" borderId="0" xfId="0" applyNumberFormat="1" applyFont="1" applyFill="1"/>
    <xf numFmtId="0" fontId="0" fillId="0" borderId="5" xfId="0" applyBorder="1"/>
    <xf numFmtId="10" fontId="0" fillId="0" borderId="5" xfId="0" applyNumberFormat="1" applyBorder="1"/>
    <xf numFmtId="0" fontId="0" fillId="0" borderId="11" xfId="0" applyBorder="1"/>
    <xf numFmtId="10" fontId="0" fillId="0" borderId="11" xfId="0" applyNumberFormat="1" applyBorder="1"/>
    <xf numFmtId="0" fontId="14" fillId="0" borderId="10" xfId="0" applyFont="1" applyBorder="1"/>
    <xf numFmtId="10" fontId="14" fillId="0" borderId="10" xfId="0" applyNumberFormat="1" applyFont="1" applyBorder="1"/>
    <xf numFmtId="10" fontId="16" fillId="0" borderId="1" xfId="0" applyNumberFormat="1" applyFont="1" applyBorder="1"/>
    <xf numFmtId="0" fontId="4" fillId="0" borderId="7" xfId="0" applyFont="1" applyBorder="1"/>
    <xf numFmtId="17" fontId="4" fillId="0" borderId="7" xfId="0" applyNumberFormat="1" applyFont="1" applyBorder="1"/>
    <xf numFmtId="0" fontId="5" fillId="9" borderId="0" xfId="0" applyFont="1" applyFill="1"/>
    <xf numFmtId="0" fontId="5" fillId="9" borderId="0" xfId="0" applyFont="1" applyFill="1" applyAlignment="1">
      <alignment horizontal="right"/>
    </xf>
    <xf numFmtId="17" fontId="5" fillId="9" borderId="0" xfId="0" applyNumberFormat="1" applyFont="1" applyFill="1"/>
    <xf numFmtId="17" fontId="5" fillId="9" borderId="0" xfId="0" applyNumberFormat="1" applyFont="1" applyFill="1" applyAlignment="1">
      <alignment horizontal="center"/>
    </xf>
    <xf numFmtId="17" fontId="5" fillId="9" borderId="0" xfId="0" applyNumberFormat="1" applyFont="1" applyFill="1" applyAlignment="1">
      <alignment horizontal="right"/>
    </xf>
    <xf numFmtId="0" fontId="2" fillId="0" borderId="0" xfId="8"/>
    <xf numFmtId="2" fontId="2" fillId="0" borderId="0" xfId="8" applyNumberFormat="1"/>
    <xf numFmtId="10" fontId="2" fillId="8" borderId="0" xfId="8" applyNumberFormat="1" applyFill="1"/>
    <xf numFmtId="0" fontId="2" fillId="8" borderId="0" xfId="8" applyFill="1"/>
    <xf numFmtId="0" fontId="2" fillId="8" borderId="0" xfId="8" applyFill="1" applyAlignment="1">
      <alignment vertical="center"/>
    </xf>
    <xf numFmtId="10" fontId="2" fillId="0" borderId="0" xfId="8" applyNumberFormat="1"/>
    <xf numFmtId="0" fontId="2" fillId="0" borderId="0" xfId="8" applyAlignment="1">
      <alignment vertical="center"/>
    </xf>
    <xf numFmtId="0" fontId="17" fillId="0" borderId="0" xfId="8" applyFont="1" applyAlignment="1">
      <alignment vertical="center"/>
    </xf>
    <xf numFmtId="0" fontId="2" fillId="0" borderId="0" xfId="8" applyAlignment="1">
      <alignment wrapText="1"/>
    </xf>
    <xf numFmtId="10" fontId="18" fillId="10" borderId="0" xfId="8" applyNumberFormat="1" applyFont="1" applyFill="1" applyAlignment="1">
      <alignment horizontal="right" wrapText="1"/>
    </xf>
    <xf numFmtId="10" fontId="18" fillId="0" borderId="12" xfId="8" applyNumberFormat="1" applyFont="1" applyBorder="1" applyAlignment="1">
      <alignment horizontal="right" wrapText="1"/>
    </xf>
    <xf numFmtId="0" fontId="2" fillId="0" borderId="12" xfId="8" applyBorder="1" applyAlignment="1">
      <alignment wrapText="1"/>
    </xf>
    <xf numFmtId="0" fontId="2" fillId="0" borderId="12" xfId="8" applyBorder="1" applyAlignment="1">
      <alignment vertical="center"/>
    </xf>
    <xf numFmtId="10" fontId="18" fillId="0" borderId="0" xfId="8" applyNumberFormat="1" applyFont="1" applyAlignment="1">
      <alignment horizontal="right" wrapText="1"/>
    </xf>
    <xf numFmtId="0" fontId="2" fillId="0" borderId="13" xfId="8" applyBorder="1" applyAlignment="1">
      <alignment wrapText="1"/>
    </xf>
    <xf numFmtId="0" fontId="14" fillId="0" borderId="13" xfId="8" applyFont="1" applyBorder="1" applyAlignment="1">
      <alignment vertical="center"/>
    </xf>
    <xf numFmtId="10" fontId="2" fillId="11" borderId="0" xfId="8" applyNumberFormat="1" applyFill="1"/>
    <xf numFmtId="2" fontId="2" fillId="0" borderId="0" xfId="8" applyNumberFormat="1" applyAlignment="1">
      <alignment horizontal="right" wrapText="1"/>
    </xf>
    <xf numFmtId="0" fontId="2" fillId="0" borderId="0" xfId="8" applyAlignment="1">
      <alignment horizontal="right" wrapText="1"/>
    </xf>
    <xf numFmtId="10" fontId="19" fillId="0" borderId="12" xfId="8" applyNumberFormat="1" applyFont="1" applyBorder="1" applyAlignment="1">
      <alignment horizontal="right" wrapText="1"/>
    </xf>
    <xf numFmtId="10" fontId="2" fillId="0" borderId="12" xfId="8" applyNumberFormat="1" applyBorder="1" applyAlignment="1">
      <alignment horizontal="right" wrapText="1"/>
    </xf>
    <xf numFmtId="4" fontId="19" fillId="0" borderId="12" xfId="8" applyNumberFormat="1" applyFont="1" applyBorder="1" applyAlignment="1">
      <alignment horizontal="right" wrapText="1"/>
    </xf>
    <xf numFmtId="10" fontId="2" fillId="0" borderId="0" xfId="8" applyNumberFormat="1" applyAlignment="1">
      <alignment horizontal="right" wrapText="1"/>
    </xf>
    <xf numFmtId="10" fontId="19" fillId="0" borderId="0" xfId="8" applyNumberFormat="1" applyFont="1" applyAlignment="1">
      <alignment horizontal="right" wrapText="1"/>
    </xf>
    <xf numFmtId="0" fontId="19" fillId="0" borderId="0" xfId="8" applyFont="1" applyAlignment="1">
      <alignment horizontal="right" wrapText="1"/>
    </xf>
    <xf numFmtId="0" fontId="14" fillId="0" borderId="13" xfId="8" applyFont="1" applyBorder="1" applyAlignment="1">
      <alignment horizontal="right" wrapText="1"/>
    </xf>
    <xf numFmtId="0" fontId="14" fillId="0" borderId="13" xfId="8" applyFont="1" applyBorder="1" applyAlignment="1">
      <alignment wrapText="1"/>
    </xf>
    <xf numFmtId="10" fontId="2" fillId="10" borderId="0" xfId="8" applyNumberFormat="1" applyFill="1" applyAlignment="1">
      <alignment wrapText="1"/>
    </xf>
    <xf numFmtId="2" fontId="2" fillId="10" borderId="0" xfId="8" applyNumberFormat="1" applyFill="1" applyAlignment="1">
      <alignment wrapText="1"/>
    </xf>
    <xf numFmtId="10" fontId="2" fillId="0" borderId="0" xfId="8" applyNumberFormat="1" applyAlignment="1">
      <alignment wrapText="1"/>
    </xf>
    <xf numFmtId="10" fontId="18" fillId="0" borderId="0" xfId="8" applyNumberFormat="1" applyFont="1" applyAlignment="1">
      <alignment wrapText="1"/>
    </xf>
    <xf numFmtId="10" fontId="2" fillId="0" borderId="14" xfId="8" applyNumberFormat="1" applyBorder="1"/>
    <xf numFmtId="0" fontId="14" fillId="0" borderId="14" xfId="8" applyFont="1" applyBorder="1"/>
    <xf numFmtId="10" fontId="2" fillId="0" borderId="15" xfId="8" applyNumberFormat="1" applyBorder="1"/>
    <xf numFmtId="0" fontId="14" fillId="0" borderId="15" xfId="8" applyFont="1" applyBorder="1"/>
    <xf numFmtId="2" fontId="2" fillId="10" borderId="0" xfId="8" applyNumberFormat="1" applyFill="1" applyAlignment="1">
      <alignment horizontal="right" wrapText="1"/>
    </xf>
    <xf numFmtId="2" fontId="19" fillId="0" borderId="0" xfId="8" applyNumberFormat="1" applyFont="1" applyAlignment="1">
      <alignment horizontal="right" wrapText="1"/>
    </xf>
    <xf numFmtId="10" fontId="2" fillId="10" borderId="0" xfId="8" applyNumberFormat="1" applyFill="1" applyAlignment="1">
      <alignment horizontal="right" wrapText="1"/>
    </xf>
    <xf numFmtId="10" fontId="18" fillId="0" borderId="0" xfId="8" applyNumberFormat="1" applyFont="1" applyAlignment="1">
      <alignment horizontal="right" vertical="top" wrapText="1"/>
    </xf>
    <xf numFmtId="4" fontId="19" fillId="0" borderId="0" xfId="8" applyNumberFormat="1" applyFont="1" applyAlignment="1">
      <alignment horizontal="right" wrapText="1"/>
    </xf>
    <xf numFmtId="0" fontId="18" fillId="0" borderId="0" xfId="8" applyFont="1" applyAlignment="1">
      <alignment wrapText="1"/>
    </xf>
    <xf numFmtId="0" fontId="2" fillId="0" borderId="0" xfId="8" applyAlignment="1">
      <alignment vertical="top" wrapText="1"/>
    </xf>
    <xf numFmtId="0" fontId="21" fillId="0" borderId="16" xfId="8" applyFont="1" applyBorder="1" applyAlignment="1">
      <alignment horizontal="right" vertical="top" wrapText="1"/>
    </xf>
    <xf numFmtId="0" fontId="2" fillId="0" borderId="16" xfId="8" applyBorder="1" applyAlignment="1">
      <alignment horizontal="right" vertical="top" wrapText="1"/>
    </xf>
    <xf numFmtId="0" fontId="2" fillId="0" borderId="16" xfId="8" applyBorder="1" applyAlignment="1">
      <alignment vertical="top" wrapText="1"/>
    </xf>
    <xf numFmtId="0" fontId="2" fillId="0" borderId="16" xfId="8" applyBorder="1" applyAlignment="1">
      <alignment wrapText="1"/>
    </xf>
    <xf numFmtId="0" fontId="14" fillId="0" borderId="16" xfId="8" applyFont="1" applyBorder="1" applyAlignment="1">
      <alignment wrapText="1"/>
    </xf>
    <xf numFmtId="0" fontId="22" fillId="0" borderId="0" xfId="8" applyFont="1" applyAlignment="1">
      <alignment vertical="center"/>
    </xf>
    <xf numFmtId="10" fontId="0" fillId="0" borderId="0" xfId="9" applyNumberFormat="1" applyFont="1"/>
    <xf numFmtId="173" fontId="2" fillId="0" borderId="0" xfId="8" applyNumberFormat="1" applyAlignment="1">
      <alignment horizontal="right"/>
    </xf>
    <xf numFmtId="15" fontId="2" fillId="0" borderId="0" xfId="8" applyNumberFormat="1" applyAlignment="1">
      <alignment horizontal="left"/>
    </xf>
    <xf numFmtId="2" fontId="2" fillId="8" borderId="0" xfId="8" applyNumberFormat="1" applyFill="1"/>
    <xf numFmtId="0" fontId="14" fillId="0" borderId="19" xfId="8" applyFont="1" applyBorder="1" applyAlignment="1">
      <alignment horizontal="right"/>
    </xf>
    <xf numFmtId="0" fontId="14" fillId="0" borderId="19" xfId="8" applyFont="1" applyBorder="1" applyAlignment="1">
      <alignment horizontal="left"/>
    </xf>
    <xf numFmtId="0" fontId="14" fillId="0" borderId="0" xfId="8" applyFont="1"/>
    <xf numFmtId="0" fontId="2" fillId="0" borderId="0" xfId="8" applyAlignment="1">
      <alignment horizontal="left"/>
    </xf>
    <xf numFmtId="10" fontId="14" fillId="8" borderId="0" xfId="8" applyNumberFormat="1" applyFont="1" applyFill="1"/>
    <xf numFmtId="0" fontId="14" fillId="8" borderId="0" xfId="8" applyFont="1" applyFill="1"/>
    <xf numFmtId="10" fontId="2" fillId="0" borderId="0" xfId="8" applyNumberFormat="1" applyAlignment="1">
      <alignment horizontal="right"/>
    </xf>
    <xf numFmtId="0" fontId="2" fillId="0" borderId="0" xfId="8" applyAlignment="1">
      <alignment horizontal="right"/>
    </xf>
    <xf numFmtId="0" fontId="13" fillId="12" borderId="0" xfId="8" applyFont="1" applyFill="1"/>
    <xf numFmtId="4" fontId="2" fillId="0" borderId="0" xfId="8" applyNumberFormat="1"/>
    <xf numFmtId="14" fontId="2" fillId="0" borderId="0" xfId="8" applyNumberFormat="1" applyAlignment="1">
      <alignment horizontal="left"/>
    </xf>
    <xf numFmtId="14" fontId="2" fillId="0" borderId="0" xfId="8" applyNumberFormat="1"/>
    <xf numFmtId="15" fontId="2" fillId="0" borderId="0" xfId="8" applyNumberFormat="1"/>
    <xf numFmtId="0" fontId="2" fillId="9" borderId="0" xfId="8" applyFill="1" applyAlignment="1">
      <alignment wrapText="1"/>
    </xf>
    <xf numFmtId="0" fontId="24" fillId="9" borderId="0" xfId="8" applyFont="1" applyFill="1" applyAlignment="1">
      <alignment vertical="center"/>
    </xf>
    <xf numFmtId="0" fontId="2" fillId="0" borderId="20" xfId="8" applyBorder="1"/>
    <xf numFmtId="10" fontId="25" fillId="0" borderId="0" xfId="9" applyNumberFormat="1" applyFont="1"/>
    <xf numFmtId="173" fontId="18" fillId="0" borderId="0" xfId="8" applyNumberFormat="1" applyFont="1" applyAlignment="1">
      <alignment horizontal="right"/>
    </xf>
    <xf numFmtId="2" fontId="18" fillId="0" borderId="0" xfId="8" applyNumberFormat="1" applyFont="1"/>
    <xf numFmtId="0" fontId="5" fillId="9" borderId="0" xfId="0" applyFont="1" applyFill="1" applyAlignment="1">
      <alignment horizontal="left"/>
    </xf>
    <xf numFmtId="175" fontId="5" fillId="9" borderId="0" xfId="0" applyNumberFormat="1" applyFont="1" applyFill="1" applyAlignment="1">
      <alignment horizontal="left"/>
    </xf>
    <xf numFmtId="176" fontId="5" fillId="9" borderId="0" xfId="0" applyNumberFormat="1" applyFont="1" applyFill="1" applyAlignment="1">
      <alignment horizontal="left"/>
    </xf>
    <xf numFmtId="0" fontId="2" fillId="8" borderId="20" xfId="8" applyFill="1" applyBorder="1"/>
    <xf numFmtId="0" fontId="19" fillId="0" borderId="0" xfId="8" applyFont="1" applyAlignment="1">
      <alignment wrapText="1"/>
    </xf>
    <xf numFmtId="0" fontId="14" fillId="0" borderId="14" xfId="8" applyFont="1" applyBorder="1" applyAlignment="1">
      <alignment horizontal="left"/>
    </xf>
    <xf numFmtId="0" fontId="14" fillId="0" borderId="0" xfId="8" applyFont="1" applyAlignment="1">
      <alignment horizontal="left"/>
    </xf>
    <xf numFmtId="0" fontId="0" fillId="8" borderId="0" xfId="0" applyFill="1"/>
    <xf numFmtId="10" fontId="0" fillId="8" borderId="0" xfId="0" applyNumberFormat="1" applyFill="1"/>
    <xf numFmtId="43" fontId="0" fillId="0" borderId="1" xfId="0" applyNumberFormat="1" applyBorder="1"/>
    <xf numFmtId="10" fontId="0" fillId="0" borderId="1" xfId="0" applyNumberFormat="1" applyBorder="1"/>
    <xf numFmtId="2" fontId="26" fillId="0" borderId="1" xfId="0" applyNumberFormat="1" applyFont="1" applyBorder="1"/>
    <xf numFmtId="43" fontId="0" fillId="11" borderId="1" xfId="0" applyNumberFormat="1" applyFill="1" applyBorder="1"/>
    <xf numFmtId="10" fontId="26" fillId="11" borderId="1" xfId="0" applyNumberFormat="1" applyFont="1" applyFill="1" applyBorder="1"/>
    <xf numFmtId="10" fontId="0" fillId="11" borderId="1" xfId="0" applyNumberFormat="1" applyFill="1" applyBorder="1"/>
    <xf numFmtId="0" fontId="0" fillId="11" borderId="1" xfId="0" applyFill="1" applyBorder="1"/>
    <xf numFmtId="0" fontId="0" fillId="11" borderId="0" xfId="0" applyFill="1"/>
    <xf numFmtId="0" fontId="0" fillId="11" borderId="10" xfId="0" applyFill="1" applyBorder="1"/>
    <xf numFmtId="177" fontId="0" fillId="0" borderId="1" xfId="0" applyNumberFormat="1" applyBorder="1"/>
    <xf numFmtId="43" fontId="0" fillId="0" borderId="10" xfId="0" applyNumberFormat="1" applyBorder="1"/>
    <xf numFmtId="0" fontId="4" fillId="0" borderId="10" xfId="0" applyFont="1" applyBorder="1"/>
    <xf numFmtId="43" fontId="4" fillId="0" borderId="10" xfId="0" applyNumberFormat="1" applyFont="1" applyBorder="1"/>
    <xf numFmtId="0" fontId="0" fillId="9" borderId="0" xfId="0" applyFill="1"/>
    <xf numFmtId="2" fontId="0" fillId="0" borderId="0" xfId="0" applyNumberFormat="1"/>
    <xf numFmtId="2" fontId="4" fillId="0" borderId="0" xfId="0" applyNumberFormat="1" applyFont="1"/>
    <xf numFmtId="0" fontId="0" fillId="0" borderId="7" xfId="0" applyBorder="1"/>
    <xf numFmtId="0" fontId="8" fillId="9" borderId="0" xfId="0" applyFont="1" applyFill="1"/>
    <xf numFmtId="0" fontId="27" fillId="0" borderId="7" xfId="0" applyFont="1" applyBorder="1"/>
    <xf numFmtId="4" fontId="18" fillId="0" borderId="0" xfId="8" applyNumberFormat="1" applyFont="1"/>
    <xf numFmtId="0" fontId="0" fillId="0" borderId="17" xfId="0" applyBorder="1"/>
    <xf numFmtId="0" fontId="11" fillId="0" borderId="18" xfId="0" applyFont="1" applyBorder="1" applyAlignment="1">
      <alignment horizontal="center"/>
    </xf>
    <xf numFmtId="0" fontId="11" fillId="0" borderId="18" xfId="0" applyFont="1" applyBorder="1" applyAlignment="1">
      <alignment horizontal="centerContinuous"/>
    </xf>
    <xf numFmtId="0" fontId="18" fillId="0" borderId="0" xfId="8" applyFont="1"/>
    <xf numFmtId="3" fontId="0" fillId="0" borderId="0" xfId="0" applyNumberFormat="1"/>
    <xf numFmtId="14" fontId="0" fillId="0" borderId="0" xfId="0" applyNumberFormat="1"/>
    <xf numFmtId="14" fontId="14" fillId="0" borderId="0" xfId="8" applyNumberFormat="1" applyFont="1" applyAlignment="1">
      <alignment horizontal="left"/>
    </xf>
    <xf numFmtId="14" fontId="14" fillId="0" borderId="19" xfId="8" applyNumberFormat="1" applyFont="1" applyBorder="1" applyAlignment="1">
      <alignment horizontal="left"/>
    </xf>
    <xf numFmtId="9" fontId="25" fillId="0" borderId="0" xfId="6" applyFont="1"/>
    <xf numFmtId="9" fontId="0" fillId="0" borderId="0" xfId="0" applyNumberFormat="1"/>
    <xf numFmtId="178" fontId="0" fillId="0" borderId="0" xfId="0" applyNumberFormat="1"/>
    <xf numFmtId="43" fontId="14" fillId="0" borderId="0" xfId="0" applyNumberFormat="1" applyFont="1"/>
    <xf numFmtId="9" fontId="0" fillId="0" borderId="0" xfId="6" applyFont="1"/>
    <xf numFmtId="0" fontId="1" fillId="0" borderId="0" xfId="0" applyFont="1"/>
    <xf numFmtId="179" fontId="0" fillId="0" borderId="0" xfId="1" applyNumberFormat="1" applyFont="1"/>
    <xf numFmtId="179" fontId="0" fillId="0" borderId="0" xfId="0" applyNumberFormat="1"/>
    <xf numFmtId="2" fontId="0" fillId="0" borderId="0" xfId="6" applyNumberFormat="1" applyFont="1"/>
    <xf numFmtId="180" fontId="0" fillId="0" borderId="0" xfId="6" applyNumberFormat="1" applyFont="1"/>
    <xf numFmtId="0" fontId="8" fillId="0" borderId="0" xfId="0" applyFont="1"/>
    <xf numFmtId="0" fontId="5" fillId="9" borderId="0" xfId="0" applyFont="1" applyFill="1" applyAlignment="1">
      <alignment horizontal="right" wrapText="1"/>
    </xf>
    <xf numFmtId="0" fontId="8" fillId="9" borderId="0" xfId="0" applyFont="1" applyFill="1" applyAlignment="1">
      <alignment horizontal="right"/>
    </xf>
    <xf numFmtId="0" fontId="5" fillId="0" borderId="0" xfId="0" applyFont="1" applyAlignment="1">
      <alignment horizontal="right" wrapText="1"/>
    </xf>
    <xf numFmtId="0" fontId="8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81" fontId="0" fillId="0" borderId="0" xfId="0" applyNumberFormat="1" applyAlignment="1">
      <alignment horizontal="right"/>
    </xf>
    <xf numFmtId="0" fontId="0" fillId="13" borderId="0" xfId="0" applyFill="1" applyAlignment="1">
      <alignment horizontal="left"/>
    </xf>
    <xf numFmtId="3" fontId="0" fillId="13" borderId="0" xfId="0" applyNumberFormat="1" applyFill="1" applyAlignment="1">
      <alignment horizontal="right"/>
    </xf>
    <xf numFmtId="4" fontId="0" fillId="13" borderId="0" xfId="0" applyNumberFormat="1" applyFill="1" applyAlignment="1">
      <alignment horizontal="right"/>
    </xf>
    <xf numFmtId="0" fontId="0" fillId="13" borderId="0" xfId="0" applyFill="1" applyAlignment="1">
      <alignment horizontal="right"/>
    </xf>
    <xf numFmtId="181" fontId="0" fillId="13" borderId="0" xfId="0" applyNumberFormat="1" applyFill="1" applyAlignment="1">
      <alignment horizontal="right"/>
    </xf>
    <xf numFmtId="181" fontId="0" fillId="0" borderId="0" xfId="0" applyNumberFormat="1"/>
    <xf numFmtId="181" fontId="4" fillId="0" borderId="0" xfId="0" applyNumberFormat="1" applyFont="1"/>
    <xf numFmtId="4" fontId="0" fillId="0" borderId="0" xfId="0" applyNumberFormat="1"/>
    <xf numFmtId="0" fontId="28" fillId="0" borderId="0" xfId="0" applyFont="1"/>
    <xf numFmtId="0" fontId="1" fillId="0" borderId="20" xfId="8" applyFont="1" applyBorder="1"/>
    <xf numFmtId="9" fontId="1" fillId="0" borderId="0" xfId="6" applyFont="1" applyFill="1" applyBorder="1"/>
    <xf numFmtId="10" fontId="1" fillId="0" borderId="10" xfId="6" applyNumberFormat="1" applyFont="1" applyBorder="1"/>
    <xf numFmtId="0" fontId="1" fillId="0" borderId="0" xfId="7" applyFont="1"/>
    <xf numFmtId="9" fontId="2" fillId="0" borderId="0" xfId="6" applyFont="1" applyAlignment="1">
      <alignment wrapText="1"/>
    </xf>
    <xf numFmtId="0" fontId="5" fillId="9" borderId="0" xfId="0" applyFont="1" applyFill="1" applyAlignment="1">
      <alignment horizontal="center"/>
    </xf>
    <xf numFmtId="0" fontId="13" fillId="9" borderId="0" xfId="8" applyFont="1" applyFill="1" applyAlignment="1">
      <alignment horizontal="center"/>
    </xf>
    <xf numFmtId="0" fontId="5" fillId="9" borderId="21" xfId="0" applyFont="1" applyFill="1" applyBorder="1" applyAlignment="1">
      <alignment horizontal="center"/>
    </xf>
    <xf numFmtId="0" fontId="5" fillId="9" borderId="0" xfId="0" applyFont="1" applyFill="1" applyAlignment="1">
      <alignment horizontal="center" vertical="top"/>
    </xf>
    <xf numFmtId="43" fontId="7" fillId="0" borderId="0" xfId="2" applyNumberFormat="1" applyBorder="1" applyAlignment="1" applyProtection="1">
      <alignment horizontal="center"/>
    </xf>
    <xf numFmtId="43" fontId="5" fillId="4" borderId="0" xfId="5" applyNumberFormat="1" applyFont="1" applyBorder="1" applyAlignment="1">
      <alignment horizontal="center"/>
    </xf>
  </cellXfs>
  <cellStyles count="10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Normal 2" xfId="7" xr:uid="{28E86C03-A816-4DC0-951D-79CC8C741B2F}"/>
    <cellStyle name="Normal 3" xfId="8" xr:uid="{75C8A631-754F-44A2-BBAB-E6F2936D50A0}"/>
    <cellStyle name="Percent" xfId="6" builtinId="5"/>
    <cellStyle name="Percent 2" xfId="9" xr:uid="{66C64C1D-08E5-4491-ACC4-041DC691E725}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0099"/>
      <color rgb="FF333399"/>
      <color rgb="FF3333FF"/>
      <color rgb="FF3333CC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www.screener.in/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www.screener.in/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Normal="100" zoomScaleSheetLayoutView="100" zoomScalePageLayoutView="120" workbookViewId="0">
      <pane xSplit="1" ySplit="4" topLeftCell="B5" activePane="bottomRight" state="frozen"/>
      <selection pane="topRight" activeCell="I2" sqref="I2"/>
      <selection pane="bottomLeft" activeCell="I2" sqref="I2"/>
      <selection pane="bottomRight" activeCell="M15" sqref="M15"/>
    </sheetView>
  </sheetViews>
  <sheetFormatPr defaultColWidth="8.6640625" defaultRowHeight="14.4" x14ac:dyDescent="0.3"/>
  <cols>
    <col min="1" max="1" width="20.6640625" customWidth="1"/>
    <col min="2" max="6" width="13.44140625" customWidth="1"/>
    <col min="7" max="7" width="14.664062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TITAN COMPANY LTD</v>
      </c>
      <c r="H1" t="str">
        <f>UPDATE</f>
        <v/>
      </c>
      <c r="J1" s="3"/>
      <c r="K1" s="3"/>
      <c r="M1" s="2" t="s">
        <v>0</v>
      </c>
    </row>
    <row r="3" spans="1:14" s="2" customFormat="1" x14ac:dyDescent="0.3">
      <c r="A3" s="11" t="s">
        <v>1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2</v>
      </c>
      <c r="M3" s="13" t="s">
        <v>3</v>
      </c>
      <c r="N3" s="13" t="s">
        <v>4</v>
      </c>
    </row>
    <row r="4" spans="1:14" s="2" customFormat="1" x14ac:dyDescent="0.3">
      <c r="A4" s="2" t="s">
        <v>5</v>
      </c>
      <c r="B4" s="1">
        <f>'Data Sheet'!B17</f>
        <v>11275.89</v>
      </c>
      <c r="C4" s="1">
        <f>'Data Sheet'!C17</f>
        <v>13260.83</v>
      </c>
      <c r="D4" s="1">
        <f>'Data Sheet'!D17</f>
        <v>16119.77</v>
      </c>
      <c r="E4" s="1">
        <f>'Data Sheet'!E17</f>
        <v>19778.52</v>
      </c>
      <c r="F4" s="1">
        <f>'Data Sheet'!F17</f>
        <v>21052</v>
      </c>
      <c r="G4" s="1">
        <f>'Data Sheet'!G17</f>
        <v>21644</v>
      </c>
      <c r="H4" s="1">
        <f>'Data Sheet'!H17</f>
        <v>28799</v>
      </c>
      <c r="I4" s="1">
        <f>'Data Sheet'!I17</f>
        <v>40575</v>
      </c>
      <c r="J4" s="1">
        <f>'Data Sheet'!J17</f>
        <v>51084</v>
      </c>
      <c r="K4" s="1">
        <f>'Data Sheet'!K17</f>
        <v>60456</v>
      </c>
      <c r="L4" s="1">
        <f>SUM(Quarters!H4:K4)</f>
        <v>75580</v>
      </c>
      <c r="M4" s="1">
        <f>$K4+M23*K4</f>
        <v>77409.348027521541</v>
      </c>
      <c r="N4" s="1">
        <f>$K4+N23*L4</f>
        <v>75959.340878492076</v>
      </c>
    </row>
    <row r="5" spans="1:14" x14ac:dyDescent="0.3">
      <c r="A5" t="s">
        <v>6</v>
      </c>
      <c r="B5" s="6">
        <f>SUM('Data Sheet'!B18,'Data Sheet'!B20:B24, -1*'Data Sheet'!B19)</f>
        <v>10336.560000000001</v>
      </c>
      <c r="C5" s="6">
        <f>SUM('Data Sheet'!C18,'Data Sheet'!C20:C24, -1*'Data Sheet'!C19)</f>
        <v>12096.93</v>
      </c>
      <c r="D5" s="6">
        <f>SUM('Data Sheet'!D18,'Data Sheet'!D20:D24, -1*'Data Sheet'!D19)</f>
        <v>14475.569999999998</v>
      </c>
      <c r="E5" s="6">
        <f>SUM('Data Sheet'!E18,'Data Sheet'!E20:E24, -1*'Data Sheet'!E19)</f>
        <v>17784.73</v>
      </c>
      <c r="F5" s="6">
        <f>SUM('Data Sheet'!F18,'Data Sheet'!F20:F24, -1*'Data Sheet'!F19)</f>
        <v>18589</v>
      </c>
      <c r="G5" s="6">
        <f>SUM('Data Sheet'!G18,'Data Sheet'!G20:G24, -1*'Data Sheet'!G19)</f>
        <v>19919</v>
      </c>
      <c r="H5" s="6">
        <f>SUM('Data Sheet'!H18,'Data Sheet'!H20:H24, -1*'Data Sheet'!H19)</f>
        <v>25455</v>
      </c>
      <c r="I5" s="6">
        <f>SUM('Data Sheet'!I18,'Data Sheet'!I20:I24, -1*'Data Sheet'!I19)</f>
        <v>35693</v>
      </c>
      <c r="J5" s="6">
        <f>SUM('Data Sheet'!J18,'Data Sheet'!J20:J24, -1*'Data Sheet'!J19)</f>
        <v>45792</v>
      </c>
      <c r="K5" s="6">
        <f>SUM('Data Sheet'!K18,'Data Sheet'!K20:K24, -1*'Data Sheet'!K19)</f>
        <v>54762</v>
      </c>
      <c r="L5" s="6">
        <f>SUM(Quarters!H5:K5)</f>
        <v>67625</v>
      </c>
      <c r="M5" s="6">
        <f t="shared" ref="M5:N5" si="0">M4-M6</f>
        <v>69261.804185778572</v>
      </c>
      <c r="N5" s="6">
        <f t="shared" si="0"/>
        <v>68166.39333262555</v>
      </c>
    </row>
    <row r="6" spans="1:14" s="2" customFormat="1" x14ac:dyDescent="0.3">
      <c r="A6" s="2" t="s">
        <v>7</v>
      </c>
      <c r="B6" s="1">
        <f>B4-B5</f>
        <v>939.32999999999811</v>
      </c>
      <c r="C6" s="1">
        <f t="shared" ref="C6:K6" si="1">C4-C5</f>
        <v>1163.8999999999996</v>
      </c>
      <c r="D6" s="1">
        <f t="shared" si="1"/>
        <v>1644.2000000000025</v>
      </c>
      <c r="E6" s="1">
        <f t="shared" si="1"/>
        <v>1993.7900000000009</v>
      </c>
      <c r="F6" s="1">
        <f t="shared" si="1"/>
        <v>2463</v>
      </c>
      <c r="G6" s="1">
        <f t="shared" si="1"/>
        <v>1725</v>
      </c>
      <c r="H6" s="1">
        <f t="shared" si="1"/>
        <v>3344</v>
      </c>
      <c r="I6" s="1">
        <f t="shared" si="1"/>
        <v>4882</v>
      </c>
      <c r="J6" s="1">
        <f t="shared" si="1"/>
        <v>5292</v>
      </c>
      <c r="K6" s="1">
        <f t="shared" si="1"/>
        <v>5694</v>
      </c>
      <c r="L6" s="1">
        <f>SUM(Quarters!H6:K6)</f>
        <v>7955</v>
      </c>
      <c r="M6" s="1">
        <f>M4*M24</f>
        <v>8147.5438417429723</v>
      </c>
      <c r="N6" s="1">
        <f>N4*N24</f>
        <v>7792.9475458665192</v>
      </c>
    </row>
    <row r="7" spans="1:14" x14ac:dyDescent="0.3">
      <c r="A7" t="s">
        <v>8</v>
      </c>
      <c r="B7" s="6">
        <f>'Data Sheet'!B25</f>
        <v>69.33</v>
      </c>
      <c r="C7" s="6">
        <f>'Data Sheet'!C25</f>
        <v>-42.38</v>
      </c>
      <c r="D7" s="6">
        <f>'Data Sheet'!D25</f>
        <v>69.930000000000007</v>
      </c>
      <c r="E7" s="6">
        <f>'Data Sheet'!E25</f>
        <v>178.48</v>
      </c>
      <c r="F7" s="6">
        <f>'Data Sheet'!F25</f>
        <v>153</v>
      </c>
      <c r="G7" s="6">
        <f>'Data Sheet'!G25</f>
        <v>180</v>
      </c>
      <c r="H7" s="6">
        <f>'Data Sheet'!H25</f>
        <v>177</v>
      </c>
      <c r="I7" s="6">
        <f>'Data Sheet'!I25</f>
        <v>306</v>
      </c>
      <c r="J7" s="6">
        <f>'Data Sheet'!J25</f>
        <v>534</v>
      </c>
      <c r="K7" s="6">
        <f>'Data Sheet'!K25</f>
        <v>487</v>
      </c>
      <c r="L7" s="6">
        <f>SUM(Quarters!H7:K7)</f>
        <v>333</v>
      </c>
      <c r="M7" s="6">
        <v>0</v>
      </c>
      <c r="N7" s="6">
        <v>0</v>
      </c>
    </row>
    <row r="8" spans="1:14" x14ac:dyDescent="0.3">
      <c r="A8" t="s">
        <v>9</v>
      </c>
      <c r="B8" s="6">
        <f>'Data Sheet'!B26</f>
        <v>98.19</v>
      </c>
      <c r="C8" s="6">
        <f>'Data Sheet'!C26</f>
        <v>110.53</v>
      </c>
      <c r="D8" s="6">
        <f>'Data Sheet'!D26</f>
        <v>131.43</v>
      </c>
      <c r="E8" s="6">
        <f>'Data Sheet'!E26</f>
        <v>162.84</v>
      </c>
      <c r="F8" s="6">
        <f>'Data Sheet'!F26</f>
        <v>348</v>
      </c>
      <c r="G8" s="6">
        <f>'Data Sheet'!G26</f>
        <v>375</v>
      </c>
      <c r="H8" s="6">
        <f>'Data Sheet'!H26</f>
        <v>399</v>
      </c>
      <c r="I8" s="6">
        <f>'Data Sheet'!I26</f>
        <v>441</v>
      </c>
      <c r="J8" s="6">
        <f>'Data Sheet'!J26</f>
        <v>584</v>
      </c>
      <c r="K8" s="6">
        <f>'Data Sheet'!K26</f>
        <v>693</v>
      </c>
      <c r="L8" s="6">
        <f>SUM(Quarters!H8:K8)</f>
        <v>763</v>
      </c>
      <c r="M8" s="6">
        <f>+$L8</f>
        <v>763</v>
      </c>
      <c r="N8" s="6">
        <f>+$L8</f>
        <v>763</v>
      </c>
    </row>
    <row r="9" spans="1:14" x14ac:dyDescent="0.3">
      <c r="A9" t="s">
        <v>10</v>
      </c>
      <c r="B9" s="6">
        <f>'Data Sheet'!B27</f>
        <v>42.36</v>
      </c>
      <c r="C9" s="6">
        <f>'Data Sheet'!C27</f>
        <v>37.74</v>
      </c>
      <c r="D9" s="6">
        <f>'Data Sheet'!D27</f>
        <v>52.92</v>
      </c>
      <c r="E9" s="6">
        <f>'Data Sheet'!E27</f>
        <v>52.54</v>
      </c>
      <c r="F9" s="6">
        <f>'Data Sheet'!F27</f>
        <v>166</v>
      </c>
      <c r="G9" s="6">
        <f>'Data Sheet'!G27</f>
        <v>203</v>
      </c>
      <c r="H9" s="6">
        <f>'Data Sheet'!H27</f>
        <v>218</v>
      </c>
      <c r="I9" s="6">
        <f>'Data Sheet'!I27</f>
        <v>300</v>
      </c>
      <c r="J9" s="6">
        <f>'Data Sheet'!J27</f>
        <v>619</v>
      </c>
      <c r="K9" s="6">
        <f>'Data Sheet'!K27</f>
        <v>953</v>
      </c>
      <c r="L9" s="6">
        <f>SUM(Quarters!H9:K9)</f>
        <v>1082</v>
      </c>
      <c r="M9" s="6">
        <f>+$L9</f>
        <v>1082</v>
      </c>
      <c r="N9" s="6">
        <f>+$L9</f>
        <v>1082</v>
      </c>
    </row>
    <row r="10" spans="1:14" x14ac:dyDescent="0.3">
      <c r="A10" t="s">
        <v>11</v>
      </c>
      <c r="B10" s="6">
        <f>'Data Sheet'!B28</f>
        <v>868.11</v>
      </c>
      <c r="C10" s="6">
        <f>'Data Sheet'!C28</f>
        <v>973.25</v>
      </c>
      <c r="D10" s="6">
        <f>'Data Sheet'!D28</f>
        <v>1529.78</v>
      </c>
      <c r="E10" s="6">
        <f>'Data Sheet'!E28</f>
        <v>1956.89</v>
      </c>
      <c r="F10" s="6">
        <f>'Data Sheet'!F28</f>
        <v>2102</v>
      </c>
      <c r="G10" s="6">
        <f>'Data Sheet'!G28</f>
        <v>1327</v>
      </c>
      <c r="H10" s="6">
        <f>'Data Sheet'!H28</f>
        <v>2904</v>
      </c>
      <c r="I10" s="6">
        <f>'Data Sheet'!I28</f>
        <v>4447</v>
      </c>
      <c r="J10" s="6">
        <f>'Data Sheet'!J28</f>
        <v>4623</v>
      </c>
      <c r="K10" s="6">
        <f>'Data Sheet'!K28</f>
        <v>4535</v>
      </c>
      <c r="L10" s="6">
        <f>SUM(Quarters!H10:K10)</f>
        <v>6443</v>
      </c>
      <c r="M10" s="6">
        <f>M6+M7-SUM(M8:M9)</f>
        <v>6302.5438417429723</v>
      </c>
      <c r="N10" s="6">
        <f>N6+N7-SUM(N8:N9)</f>
        <v>5947.9475458665192</v>
      </c>
    </row>
    <row r="11" spans="1:14" x14ac:dyDescent="0.3">
      <c r="A11" t="s">
        <v>12</v>
      </c>
      <c r="B11" s="6">
        <f>'Data Sheet'!B29</f>
        <v>191.59</v>
      </c>
      <c r="C11" s="6">
        <f>'Data Sheet'!C29</f>
        <v>275.97000000000003</v>
      </c>
      <c r="D11" s="6">
        <f>'Data Sheet'!D29</f>
        <v>427.87</v>
      </c>
      <c r="E11" s="6">
        <f>'Data Sheet'!E29</f>
        <v>568.24</v>
      </c>
      <c r="F11" s="6">
        <f>'Data Sheet'!F29</f>
        <v>609</v>
      </c>
      <c r="G11" s="6">
        <f>'Data Sheet'!G29</f>
        <v>353</v>
      </c>
      <c r="H11" s="6">
        <f>'Data Sheet'!H29</f>
        <v>706</v>
      </c>
      <c r="I11" s="6">
        <f>'Data Sheet'!I29</f>
        <v>1173</v>
      </c>
      <c r="J11" s="6">
        <f>'Data Sheet'!J29</f>
        <v>1127</v>
      </c>
      <c r="K11" s="6">
        <f>'Data Sheet'!K29</f>
        <v>1198</v>
      </c>
      <c r="L11" s="6">
        <f>SUM(Quarters!H11:K11)</f>
        <v>1677</v>
      </c>
      <c r="M11" s="7">
        <f>IF($L10&gt;0,$L11/$L10,0)</f>
        <v>0.26028247710693775</v>
      </c>
      <c r="N11" s="7">
        <f>IF($L10&gt;0,$L11/$L10,0)</f>
        <v>0.26028247710693775</v>
      </c>
    </row>
    <row r="12" spans="1:14" s="2" customFormat="1" x14ac:dyDescent="0.3">
      <c r="A12" s="2" t="s">
        <v>13</v>
      </c>
      <c r="B12" s="1">
        <f>'Data Sheet'!B30</f>
        <v>674.52</v>
      </c>
      <c r="C12" s="1">
        <f>'Data Sheet'!C30</f>
        <v>711.47</v>
      </c>
      <c r="D12" s="1">
        <f>'Data Sheet'!D30</f>
        <v>1130.0899999999999</v>
      </c>
      <c r="E12" s="1">
        <f>'Data Sheet'!E30</f>
        <v>1404.15</v>
      </c>
      <c r="F12" s="1">
        <f>'Data Sheet'!F30</f>
        <v>1501</v>
      </c>
      <c r="G12" s="1">
        <f>'Data Sheet'!G30</f>
        <v>973</v>
      </c>
      <c r="H12" s="1">
        <f>'Data Sheet'!H30</f>
        <v>2173</v>
      </c>
      <c r="I12" s="1">
        <f>'Data Sheet'!I30</f>
        <v>3250</v>
      </c>
      <c r="J12" s="1">
        <f>'Data Sheet'!J30</f>
        <v>3496</v>
      </c>
      <c r="K12" s="1">
        <f>'Data Sheet'!K30</f>
        <v>3337</v>
      </c>
      <c r="L12" s="1">
        <f>SUM(Quarters!H12:K12)</f>
        <v>4766</v>
      </c>
      <c r="M12" s="1">
        <f>M10-M11*M10</f>
        <v>4662.1021185390355</v>
      </c>
      <c r="N12" s="1">
        <f>N10-N11*N10</f>
        <v>4399.8010249262506</v>
      </c>
    </row>
    <row r="13" spans="1:14" x14ac:dyDescent="0.3">
      <c r="A13" t="s">
        <v>14</v>
      </c>
      <c r="B13" s="6">
        <f>IF('Data Sheet'!B93&gt;0,B12/'Data Sheet'!B93,0)</f>
        <v>7.5976571299842304</v>
      </c>
      <c r="C13" s="6">
        <f>IF('Data Sheet'!C93&gt;0,C12/'Data Sheet'!C93,0)</f>
        <v>8.0138544717278677</v>
      </c>
      <c r="D13" s="6">
        <f>IF('Data Sheet'!D93&gt;0,D12/'Data Sheet'!D93,0)</f>
        <v>12.729105654426672</v>
      </c>
      <c r="E13" s="6">
        <f>IF('Data Sheet'!E93&gt;0,E12/'Data Sheet'!E93,0)</f>
        <v>15.816062176165804</v>
      </c>
      <c r="F13" s="6">
        <f>IF('Data Sheet'!F93&gt;0,F12/'Data Sheet'!F93,0)</f>
        <v>16.90696102725839</v>
      </c>
      <c r="G13" s="6">
        <f>IF('Data Sheet'!G93&gt;0,G12/'Data Sheet'!G93,0)</f>
        <v>10.959675602613201</v>
      </c>
      <c r="H13" s="6">
        <f>IF('Data Sheet'!H93&gt;0,H12/'Data Sheet'!H93,0)</f>
        <v>24.476233385897725</v>
      </c>
      <c r="I13" s="6">
        <f>IF('Data Sheet'!I93&gt;0,I12/'Data Sheet'!I93,0)</f>
        <v>36.607343996395585</v>
      </c>
      <c r="J13" s="6">
        <f>IF('Data Sheet'!J93&gt;0,J12/'Data Sheet'!J93,0)</f>
        <v>39.37823834196891</v>
      </c>
      <c r="K13" s="6">
        <f>IF('Data Sheet'!K93&gt;0,K12/'Data Sheet'!K93,0)</f>
        <v>37.58729443568371</v>
      </c>
      <c r="L13" s="6">
        <f>IF('Data Sheet'!$B6&gt;0,'Profit &amp; Loss'!L12/'Data Sheet'!$B6,0)</f>
        <v>53.691304679929658</v>
      </c>
      <c r="M13" s="6">
        <f>IF('Data Sheet'!$B6&gt;0,'Profit &amp; Loss'!M12/'Data Sheet'!$B6,0)</f>
        <v>52.520844585695528</v>
      </c>
      <c r="N13" s="6">
        <f>IF('Data Sheet'!$B6&gt;0,'Profit &amp; Loss'!N12/'Data Sheet'!$B6,0)</f>
        <v>49.565895375657178</v>
      </c>
    </row>
    <row r="14" spans="1:14" x14ac:dyDescent="0.3">
      <c r="A14" t="s">
        <v>15</v>
      </c>
      <c r="B14" s="6">
        <f>IF(B15&gt;0,B15/B13,"")</f>
        <v>44.592694063926942</v>
      </c>
      <c r="C14" s="6">
        <f t="shared" ref="C14:K14" si="2">IF(C15&gt;0,C15/C13,"")</f>
        <v>57.74374885799822</v>
      </c>
      <c r="D14" s="6">
        <f t="shared" si="2"/>
        <v>74.027196064030306</v>
      </c>
      <c r="E14" s="6">
        <f t="shared" si="2"/>
        <v>72.195593775593764</v>
      </c>
      <c r="F14" s="6">
        <f t="shared" si="2"/>
        <v>55.225773484343776</v>
      </c>
      <c r="G14" s="6">
        <f t="shared" si="2"/>
        <v>142.16205447070914</v>
      </c>
      <c r="H14" s="6">
        <f t="shared" si="2"/>
        <v>103.61684169351128</v>
      </c>
      <c r="I14" s="6">
        <f t="shared" si="2"/>
        <v>68.699329846153844</v>
      </c>
      <c r="J14" s="6">
        <f t="shared" si="2"/>
        <v>96.545710526315801</v>
      </c>
      <c r="K14" s="6">
        <f t="shared" si="2"/>
        <v>81.499614324243339</v>
      </c>
      <c r="L14" s="6">
        <f t="shared" ref="L14" si="3">IF(L13&gt;0,L15/L13,0)</f>
        <v>79.08356903063364</v>
      </c>
      <c r="M14" s="6">
        <f>M25</f>
        <v>81.457055931836663</v>
      </c>
      <c r="N14" s="6">
        <f>N25</f>
        <v>79.08356903063364</v>
      </c>
    </row>
    <row r="15" spans="1:14" s="2" customFormat="1" x14ac:dyDescent="0.3">
      <c r="A15" s="2" t="s">
        <v>16</v>
      </c>
      <c r="B15" s="1">
        <f>'Data Sheet'!B90</f>
        <v>338.8</v>
      </c>
      <c r="C15" s="1">
        <f>'Data Sheet'!C90</f>
        <v>462.75</v>
      </c>
      <c r="D15" s="1">
        <f>'Data Sheet'!D90</f>
        <v>942.3</v>
      </c>
      <c r="E15" s="1">
        <f>'Data Sheet'!E90</f>
        <v>1141.8499999999999</v>
      </c>
      <c r="F15" s="1">
        <f>'Data Sheet'!F90</f>
        <v>933.7</v>
      </c>
      <c r="G15" s="1">
        <f>'Data Sheet'!G90</f>
        <v>1558.05</v>
      </c>
      <c r="H15" s="1">
        <f>'Data Sheet'!H90</f>
        <v>2536.15</v>
      </c>
      <c r="I15" s="1">
        <f>'Data Sheet'!I90</f>
        <v>2514.9</v>
      </c>
      <c r="J15" s="1">
        <f>'Data Sheet'!J90</f>
        <v>3801.8</v>
      </c>
      <c r="K15" s="1">
        <f>'Data Sheet'!K90</f>
        <v>3063.35</v>
      </c>
      <c r="L15" s="1">
        <f>'Data Sheet'!B8</f>
        <v>4246.1000000000004</v>
      </c>
      <c r="M15" s="8">
        <f>M13*M14</f>
        <v>4278.1933750043017</v>
      </c>
      <c r="N15" s="9">
        <f>N13*N14</f>
        <v>3919.8479085059494</v>
      </c>
    </row>
    <row r="17" spans="1:14" s="2" customFormat="1" x14ac:dyDescent="0.3">
      <c r="A17" s="2" t="s">
        <v>17</v>
      </c>
    </row>
    <row r="18" spans="1:14" x14ac:dyDescent="0.3">
      <c r="A18" t="s">
        <v>18</v>
      </c>
      <c r="B18" s="5">
        <f>IF('Data Sheet'!B30&gt;0, 'Data Sheet'!B31/'Data Sheet'!B30, 0)</f>
        <v>0.28956887860997449</v>
      </c>
      <c r="C18" s="5">
        <f>IF('Data Sheet'!C30&gt;0, 'Data Sheet'!C31/'Data Sheet'!C30, 0)</f>
        <v>0.32444094620995967</v>
      </c>
      <c r="D18" s="5">
        <f>IF('Data Sheet'!D30&gt;0, 'Data Sheet'!D31/'Data Sheet'!D30, 0)</f>
        <v>0.29459600562787036</v>
      </c>
      <c r="E18" s="5">
        <f>IF('Data Sheet'!E30&gt;0, 'Data Sheet'!E31/'Data Sheet'!E30, 0)</f>
        <v>0.31613431613431608</v>
      </c>
      <c r="F18" s="5">
        <f>IF('Data Sheet'!F30&gt;0, 'Data Sheet'!F31/'Data Sheet'!F30, 0)</f>
        <v>0.23717521652231846</v>
      </c>
      <c r="G18" s="5">
        <f>IF('Data Sheet'!G30&gt;0, 'Data Sheet'!G31/'Data Sheet'!G30, 0)</f>
        <v>0.3658787255909558</v>
      </c>
      <c r="H18" s="5">
        <f>IF('Data Sheet'!H30&gt;0, 'Data Sheet'!H31/'Data Sheet'!H30, 0)</f>
        <v>0.3071790151863783</v>
      </c>
      <c r="I18" s="5">
        <f>IF('Data Sheet'!I30&gt;0, 'Data Sheet'!I31/'Data Sheet'!I30, 0)</f>
        <v>0.27384615384615385</v>
      </c>
      <c r="J18" s="5">
        <f>IF('Data Sheet'!J30&gt;0, 'Data Sheet'!J31/'Data Sheet'!J30, 0)</f>
        <v>0.28003432494279173</v>
      </c>
      <c r="K18" s="5">
        <f>IF('Data Sheet'!K30&gt;0, 'Data Sheet'!K31/'Data Sheet'!K30, 0)</f>
        <v>0.29337728498651483</v>
      </c>
    </row>
    <row r="19" spans="1:14" x14ac:dyDescent="0.3">
      <c r="A19" t="s">
        <v>19</v>
      </c>
      <c r="B19" s="5">
        <f t="shared" ref="B19:L19" si="4">IF(B6&gt;0,B6/B4,0)</f>
        <v>8.3304289062770043E-2</v>
      </c>
      <c r="C19" s="5">
        <f t="shared" ref="C19:K19" si="5">IF(C6&gt;0,C6/C4,0)</f>
        <v>8.7769770067182798E-2</v>
      </c>
      <c r="D19" s="5">
        <f t="shared" si="5"/>
        <v>0.10199897393076963</v>
      </c>
      <c r="E19" s="5">
        <f t="shared" si="5"/>
        <v>0.10080582369156038</v>
      </c>
      <c r="F19" s="5">
        <f t="shared" si="5"/>
        <v>0.1169960098802964</v>
      </c>
      <c r="G19" s="5">
        <f t="shared" si="5"/>
        <v>7.9698761781556091E-2</v>
      </c>
      <c r="H19" s="5">
        <f t="shared" si="5"/>
        <v>0.11611514288690579</v>
      </c>
      <c r="I19" s="5">
        <f t="shared" si="5"/>
        <v>0.12032039433148491</v>
      </c>
      <c r="J19" s="5">
        <f t="shared" si="5"/>
        <v>0.10359408033826638</v>
      </c>
      <c r="K19" s="5">
        <f t="shared" si="5"/>
        <v>9.4184200079396582E-2</v>
      </c>
      <c r="L19" s="5">
        <f t="shared" si="4"/>
        <v>0.10525271235776661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20</v>
      </c>
      <c r="H22" s="12" t="s">
        <v>21</v>
      </c>
      <c r="I22" s="12" t="s">
        <v>22</v>
      </c>
      <c r="J22" s="12" t="s">
        <v>23</v>
      </c>
      <c r="K22" s="12" t="s">
        <v>24</v>
      </c>
      <c r="L22" s="13" t="s">
        <v>25</v>
      </c>
      <c r="M22" s="13" t="s">
        <v>26</v>
      </c>
      <c r="N22" s="13" t="s">
        <v>27</v>
      </c>
    </row>
    <row r="23" spans="1:14" s="2" customFormat="1" x14ac:dyDescent="0.3">
      <c r="A23"/>
      <c r="B23"/>
      <c r="C23"/>
      <c r="D23"/>
      <c r="E23"/>
      <c r="F23"/>
      <c r="G23" t="s">
        <v>28</v>
      </c>
      <c r="H23" s="5">
        <f>IF(B4=0,"",POWER($K4/B4,1/9)-1)</f>
        <v>0.20512491239073927</v>
      </c>
      <c r="I23" s="5">
        <f>IF(D4=0,"",POWER($K4/D4,1/7)-1)</f>
        <v>0.20784584524669647</v>
      </c>
      <c r="J23" s="5">
        <f>IF(F4=0,"",POWER($K4/F4,1/5)-1)</f>
        <v>0.23489266089223415</v>
      </c>
      <c r="K23" s="5">
        <f>IF(H4=0,"",POWER($K4/H4, 1/3)-1)</f>
        <v>0.28042457369858309</v>
      </c>
      <c r="L23" s="5">
        <f>IF(ISERROR(MAX(IF(J4=0,"",(K4-J4)/J4),IF(K4=0,"",(L4-K4)/K4))),"",MAX(IF(J4=0,"",(K4-J4)/J4),IF(K4=0,"",(L4-K4)/K4)))</f>
        <v>0.25016540955405586</v>
      </c>
      <c r="M23" s="16">
        <f>MAX(K23:L23)</f>
        <v>0.28042457369858309</v>
      </c>
      <c r="N23" s="16">
        <f>MIN(H23:L23)</f>
        <v>0.20512491239073927</v>
      </c>
    </row>
    <row r="24" spans="1:14" x14ac:dyDescent="0.3">
      <c r="G24" t="s">
        <v>19</v>
      </c>
      <c r="H24" s="5">
        <f>IF(SUM(B4:$K$4)=0,"",SUMPRODUCT(B19:$K$19,B4:$K$4)/SUM(B4:$K$4))</f>
        <v>0.10259366992576283</v>
      </c>
      <c r="I24" s="5">
        <f>IF(SUM(E4:$K$4)=0,"",SUMPRODUCT(E19:$K$19,E4:$K$4)/SUM(E4:$K$4))</f>
        <v>0.10433437863051223</v>
      </c>
      <c r="J24" s="5">
        <f>IF(SUM(G4:$K$4)=0,"",SUMPRODUCT(G19:$K$19,G4:$K$4)/SUM(G4:$K$4))</f>
        <v>0.10336298739126572</v>
      </c>
      <c r="K24" s="5">
        <f>IF(SUM(I4:$K$4)=0, "", SUMPRODUCT(I19:$K$19,I4:$K$4)/SUM(I4:$K$4))</f>
        <v>0.10431581369358708</v>
      </c>
      <c r="L24" s="5">
        <f>L19</f>
        <v>0.10525271235776661</v>
      </c>
      <c r="M24" s="16">
        <f>MAX(K24:L24)</f>
        <v>0.10525271235776661</v>
      </c>
      <c r="N24" s="16">
        <f>MIN(H24:L24)</f>
        <v>0.10259366992576283</v>
      </c>
    </row>
    <row r="25" spans="1:14" x14ac:dyDescent="0.3">
      <c r="G25" t="s">
        <v>29</v>
      </c>
      <c r="H25" s="6">
        <f>IF(ISERROR(AVERAGEIF(B14:$L14,"&gt;0")),"",AVERAGEIF(B14:$L14,"&gt;0"))</f>
        <v>79.581102376132748</v>
      </c>
      <c r="I25" s="6">
        <f>IF(ISERROR(AVERAGEIF(E14:$L14,"&gt;0")),"",AVERAGEIF(E14:$L14,"&gt;0"))</f>
        <v>87.378560893938072</v>
      </c>
      <c r="J25" s="6">
        <f>IF(ISERROR(AVERAGEIF(G14:$L14,"&gt;0")),"",AVERAGEIF(G14:$L14,"&gt;0"))</f>
        <v>95.267853315261178</v>
      </c>
      <c r="K25" s="6">
        <f>IF(ISERROR(AVERAGEIF(I14:$L14,"&gt;0")),"",AVERAGEIF(I14:$L14,"&gt;0"))</f>
        <v>81.457055931836663</v>
      </c>
      <c r="L25" s="6">
        <f>L14</f>
        <v>79.08356903063364</v>
      </c>
      <c r="M25" s="1">
        <f>MAX(K25:L25)</f>
        <v>81.457055931836663</v>
      </c>
      <c r="N25" s="1">
        <f>MIN(H25:L25)</f>
        <v>79.08356903063364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14" sqref="K14"/>
    </sheetView>
  </sheetViews>
  <sheetFormatPr defaultColWidth="8.664062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TITAN COMPANY LTD</v>
      </c>
      <c r="E1" t="str">
        <f>UPDATE</f>
        <v/>
      </c>
      <c r="J1" s="2" t="s">
        <v>0</v>
      </c>
    </row>
    <row r="3" spans="1:11" s="2" customFormat="1" x14ac:dyDescent="0.3">
      <c r="A3" s="11" t="s">
        <v>1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">
      <c r="A4" s="2" t="s">
        <v>5</v>
      </c>
      <c r="B4" s="1">
        <f>'Data Sheet'!B42</f>
        <v>12529</v>
      </c>
      <c r="C4" s="1">
        <f>'Data Sheet'!C42</f>
        <v>14164</v>
      </c>
      <c r="D4" s="1">
        <f>'Data Sheet'!D42</f>
        <v>12494</v>
      </c>
      <c r="E4" s="1">
        <f>'Data Sheet'!E42</f>
        <v>13266</v>
      </c>
      <c r="F4" s="1">
        <f>'Data Sheet'!F42</f>
        <v>14534</v>
      </c>
      <c r="G4" s="1">
        <f>'Data Sheet'!G42</f>
        <v>17740</v>
      </c>
      <c r="H4" s="1">
        <f>'Data Sheet'!H42</f>
        <v>14916</v>
      </c>
      <c r="I4" s="1">
        <f>'Data Sheet'!I42</f>
        <v>16523</v>
      </c>
      <c r="J4" s="1">
        <f>'Data Sheet'!J42</f>
        <v>18725</v>
      </c>
      <c r="K4" s="1">
        <f>'Data Sheet'!K42</f>
        <v>25416</v>
      </c>
    </row>
    <row r="5" spans="1:11" x14ac:dyDescent="0.3">
      <c r="A5" t="s">
        <v>6</v>
      </c>
      <c r="B5" s="6">
        <f>'Data Sheet'!B43</f>
        <v>11118</v>
      </c>
      <c r="C5" s="6">
        <f>'Data Sheet'!C43</f>
        <v>12599</v>
      </c>
      <c r="D5" s="6">
        <f>'Data Sheet'!D43</f>
        <v>11303</v>
      </c>
      <c r="E5" s="6">
        <f>'Data Sheet'!E43</f>
        <v>12019</v>
      </c>
      <c r="F5" s="6">
        <f>'Data Sheet'!F43</f>
        <v>13298</v>
      </c>
      <c r="G5" s="6">
        <f>'Data Sheet'!G43</f>
        <v>16066</v>
      </c>
      <c r="H5" s="6">
        <f>'Data Sheet'!H43</f>
        <v>13379</v>
      </c>
      <c r="I5" s="6">
        <f>'Data Sheet'!I43</f>
        <v>14693</v>
      </c>
      <c r="J5" s="6">
        <f>'Data Sheet'!J43</f>
        <v>16850</v>
      </c>
      <c r="K5" s="6">
        <f>'Data Sheet'!K43</f>
        <v>22703</v>
      </c>
    </row>
    <row r="6" spans="1:11" s="2" customFormat="1" x14ac:dyDescent="0.3">
      <c r="A6" s="2" t="s">
        <v>7</v>
      </c>
      <c r="B6" s="1">
        <f>'Data Sheet'!B50</f>
        <v>1411</v>
      </c>
      <c r="C6" s="1">
        <f>'Data Sheet'!C50</f>
        <v>1565</v>
      </c>
      <c r="D6" s="1">
        <f>'Data Sheet'!D50</f>
        <v>1191</v>
      </c>
      <c r="E6" s="1">
        <f>'Data Sheet'!E50</f>
        <v>1247</v>
      </c>
      <c r="F6" s="1">
        <f>'Data Sheet'!F50</f>
        <v>1236</v>
      </c>
      <c r="G6" s="1">
        <f>'Data Sheet'!G50</f>
        <v>1674</v>
      </c>
      <c r="H6" s="1">
        <f>'Data Sheet'!H50</f>
        <v>1537</v>
      </c>
      <c r="I6" s="1">
        <f>'Data Sheet'!I50</f>
        <v>1830</v>
      </c>
      <c r="J6" s="1">
        <f>'Data Sheet'!J50</f>
        <v>1875</v>
      </c>
      <c r="K6" s="1">
        <f>'Data Sheet'!K50</f>
        <v>2713</v>
      </c>
    </row>
    <row r="7" spans="1:11" x14ac:dyDescent="0.3">
      <c r="A7" t="s">
        <v>8</v>
      </c>
      <c r="B7" s="6">
        <f>'Data Sheet'!B44</f>
        <v>125</v>
      </c>
      <c r="C7" s="6">
        <f>'Data Sheet'!C44</f>
        <v>136</v>
      </c>
      <c r="D7" s="6">
        <f>'Data Sheet'!D44</f>
        <v>159</v>
      </c>
      <c r="E7" s="6">
        <f>'Data Sheet'!E44</f>
        <v>120</v>
      </c>
      <c r="F7" s="6">
        <f>'Data Sheet'!F44</f>
        <v>123</v>
      </c>
      <c r="G7" s="6">
        <f>'Data Sheet'!G44</f>
        <v>128</v>
      </c>
      <c r="H7" s="6">
        <f>'Data Sheet'!H44</f>
        <v>116</v>
      </c>
      <c r="I7" s="6">
        <f>'Data Sheet'!I44</f>
        <v>105</v>
      </c>
      <c r="J7" s="6">
        <f>'Data Sheet'!J44</f>
        <v>113</v>
      </c>
      <c r="K7" s="6">
        <f>'Data Sheet'!K44</f>
        <v>-1</v>
      </c>
    </row>
    <row r="8" spans="1:11" x14ac:dyDescent="0.3">
      <c r="A8" t="s">
        <v>9</v>
      </c>
      <c r="B8" s="6">
        <f>'Data Sheet'!B45</f>
        <v>144</v>
      </c>
      <c r="C8" s="6">
        <f>'Data Sheet'!C45</f>
        <v>154</v>
      </c>
      <c r="D8" s="6">
        <f>'Data Sheet'!D45</f>
        <v>158</v>
      </c>
      <c r="E8" s="6">
        <f>'Data Sheet'!E45</f>
        <v>164</v>
      </c>
      <c r="F8" s="6">
        <f>'Data Sheet'!F45</f>
        <v>171</v>
      </c>
      <c r="G8" s="6">
        <f>'Data Sheet'!G45</f>
        <v>175</v>
      </c>
      <c r="H8" s="6">
        <f>'Data Sheet'!H45</f>
        <v>183</v>
      </c>
      <c r="I8" s="6">
        <f>'Data Sheet'!I45</f>
        <v>184</v>
      </c>
      <c r="J8" s="6">
        <f>'Data Sheet'!J45</f>
        <v>189</v>
      </c>
      <c r="K8" s="6">
        <f>'Data Sheet'!K45</f>
        <v>207</v>
      </c>
    </row>
    <row r="9" spans="1:11" x14ac:dyDescent="0.3">
      <c r="A9" t="s">
        <v>10</v>
      </c>
      <c r="B9" s="6">
        <f>'Data Sheet'!B46</f>
        <v>140</v>
      </c>
      <c r="C9" s="6">
        <f>'Data Sheet'!C46</f>
        <v>169</v>
      </c>
      <c r="D9" s="6">
        <f>'Data Sheet'!D46</f>
        <v>201</v>
      </c>
      <c r="E9" s="6">
        <f>'Data Sheet'!E46</f>
        <v>230</v>
      </c>
      <c r="F9" s="6">
        <f>'Data Sheet'!F46</f>
        <v>240</v>
      </c>
      <c r="G9" s="6">
        <f>'Data Sheet'!G46</f>
        <v>231</v>
      </c>
      <c r="H9" s="6">
        <f>'Data Sheet'!H46</f>
        <v>252</v>
      </c>
      <c r="I9" s="6">
        <f>'Data Sheet'!I46</f>
        <v>271</v>
      </c>
      <c r="J9" s="6">
        <f>'Data Sheet'!J46</f>
        <v>277</v>
      </c>
      <c r="K9" s="6">
        <f>'Data Sheet'!K46</f>
        <v>282</v>
      </c>
    </row>
    <row r="10" spans="1:11" x14ac:dyDescent="0.3">
      <c r="A10" t="s">
        <v>11</v>
      </c>
      <c r="B10" s="6">
        <f>'Data Sheet'!B47</f>
        <v>1252</v>
      </c>
      <c r="C10" s="6">
        <f>'Data Sheet'!C47</f>
        <v>1378</v>
      </c>
      <c r="D10" s="6">
        <f>'Data Sheet'!D47</f>
        <v>991</v>
      </c>
      <c r="E10" s="6">
        <f>'Data Sheet'!E47</f>
        <v>973</v>
      </c>
      <c r="F10" s="6">
        <f>'Data Sheet'!F47</f>
        <v>948</v>
      </c>
      <c r="G10" s="6">
        <f>'Data Sheet'!G47</f>
        <v>1396</v>
      </c>
      <c r="H10" s="6">
        <f>'Data Sheet'!H47</f>
        <v>1218</v>
      </c>
      <c r="I10" s="6">
        <f>'Data Sheet'!I47</f>
        <v>1480</v>
      </c>
      <c r="J10" s="6">
        <f>'Data Sheet'!J47</f>
        <v>1522</v>
      </c>
      <c r="K10" s="6">
        <f>'Data Sheet'!K47</f>
        <v>2223</v>
      </c>
    </row>
    <row r="11" spans="1:11" x14ac:dyDescent="0.3">
      <c r="A11" t="s">
        <v>12</v>
      </c>
      <c r="B11" s="6">
        <f>'Data Sheet'!B48</f>
        <v>336</v>
      </c>
      <c r="C11" s="6">
        <f>'Data Sheet'!C48</f>
        <v>325</v>
      </c>
      <c r="D11" s="6">
        <f>'Data Sheet'!D48</f>
        <v>220</v>
      </c>
      <c r="E11" s="6">
        <f>'Data Sheet'!E48</f>
        <v>258</v>
      </c>
      <c r="F11" s="6">
        <f>'Data Sheet'!F48</f>
        <v>244</v>
      </c>
      <c r="G11" s="6">
        <f>'Data Sheet'!G48</f>
        <v>349</v>
      </c>
      <c r="H11" s="6">
        <f>'Data Sheet'!H48</f>
        <v>347</v>
      </c>
      <c r="I11" s="6">
        <f>'Data Sheet'!I48</f>
        <v>389</v>
      </c>
      <c r="J11" s="6">
        <f>'Data Sheet'!J48</f>
        <v>402</v>
      </c>
      <c r="K11" s="6">
        <f>'Data Sheet'!K48</f>
        <v>539</v>
      </c>
    </row>
    <row r="12" spans="1:11" s="2" customFormat="1" x14ac:dyDescent="0.3">
      <c r="A12" s="2" t="s">
        <v>13</v>
      </c>
      <c r="B12" s="1">
        <f>'Data Sheet'!B49</f>
        <v>915</v>
      </c>
      <c r="C12" s="1">
        <f>'Data Sheet'!C49</f>
        <v>1053</v>
      </c>
      <c r="D12" s="1">
        <f>'Data Sheet'!D49</f>
        <v>771</v>
      </c>
      <c r="E12" s="1">
        <f>'Data Sheet'!E49</f>
        <v>715</v>
      </c>
      <c r="F12" s="1">
        <f>'Data Sheet'!F49</f>
        <v>704</v>
      </c>
      <c r="G12" s="1">
        <f>'Data Sheet'!G49</f>
        <v>1047</v>
      </c>
      <c r="H12" s="1">
        <f>'Data Sheet'!H49</f>
        <v>871</v>
      </c>
      <c r="I12" s="1">
        <f>'Data Sheet'!I49</f>
        <v>1091</v>
      </c>
      <c r="J12" s="1">
        <f>'Data Sheet'!J49</f>
        <v>1120</v>
      </c>
      <c r="K12" s="1">
        <f>'Data Sheet'!K49</f>
        <v>1684</v>
      </c>
    </row>
    <row r="14" spans="1:11" s="2" customFormat="1" x14ac:dyDescent="0.3">
      <c r="A14" s="2" t="s">
        <v>19</v>
      </c>
      <c r="B14" s="10">
        <f>IF(B4&gt;0,B6/B4,"")</f>
        <v>0.11261872455902307</v>
      </c>
      <c r="C14" s="10">
        <f t="shared" ref="C14:K14" si="0">IF(C4&gt;0,C6/C4,"")</f>
        <v>0.11049138661395086</v>
      </c>
      <c r="D14" s="10">
        <f t="shared" si="0"/>
        <v>9.5325756363054265E-2</v>
      </c>
      <c r="E14" s="10">
        <f t="shared" si="0"/>
        <v>9.399969847731042E-2</v>
      </c>
      <c r="F14" s="10">
        <f t="shared" si="0"/>
        <v>8.5041970551809551E-2</v>
      </c>
      <c r="G14" s="10">
        <f t="shared" si="0"/>
        <v>9.4363021420518597E-2</v>
      </c>
      <c r="H14" s="10">
        <f t="shared" si="0"/>
        <v>0.1030437114507911</v>
      </c>
      <c r="I14" s="10">
        <f t="shared" si="0"/>
        <v>0.11075470556194396</v>
      </c>
      <c r="J14" s="10">
        <f t="shared" si="0"/>
        <v>0.10013351134846461</v>
      </c>
      <c r="K14" s="10">
        <f t="shared" si="0"/>
        <v>0.10674378344350016</v>
      </c>
    </row>
    <row r="22" s="19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C3CF-2C16-4FB3-90CB-9000C15D1DF6}">
  <dimension ref="B2:W113"/>
  <sheetViews>
    <sheetView showGridLines="0" zoomScale="104" zoomScaleNormal="49" workbookViewId="0">
      <selection activeCell="M6" sqref="M6"/>
    </sheetView>
  </sheetViews>
  <sheetFormatPr defaultColWidth="8.88671875" defaultRowHeight="14.4" x14ac:dyDescent="0.3"/>
  <cols>
    <col min="1" max="1" width="1.88671875" style="124" customWidth="1"/>
    <col min="2" max="2" width="12.33203125" style="179" customWidth="1"/>
    <col min="3" max="3" width="14" style="124" customWidth="1"/>
    <col min="4" max="4" width="7.88671875" style="124" bestFit="1" customWidth="1"/>
    <col min="5" max="5" width="6.5546875" style="124" customWidth="1"/>
    <col min="6" max="6" width="11.5546875" style="124" bestFit="1" customWidth="1"/>
    <col min="7" max="7" width="7.88671875" style="124" bestFit="1" customWidth="1"/>
    <col min="8" max="8" width="6.6640625" style="124" customWidth="1"/>
    <col min="9" max="9" width="17.5546875" style="124" bestFit="1" customWidth="1"/>
    <col min="10" max="10" width="7" style="124" bestFit="1" customWidth="1"/>
    <col min="11" max="11" width="6.44140625" style="124" customWidth="1"/>
    <col min="12" max="12" width="17.44140625" style="124" bestFit="1" customWidth="1"/>
    <col min="13" max="13" width="12" style="124" bestFit="1" customWidth="1"/>
    <col min="14" max="14" width="13.44140625" style="124" bestFit="1" customWidth="1"/>
    <col min="15" max="15" width="12.6640625" style="124" bestFit="1" customWidth="1"/>
    <col min="16" max="16" width="12" style="124" bestFit="1" customWidth="1"/>
    <col min="17" max="17" width="12.6640625" style="124" bestFit="1" customWidth="1"/>
    <col min="18" max="18" width="12" style="124" bestFit="1" customWidth="1"/>
    <col min="19" max="19" width="12.6640625" style="124" bestFit="1" customWidth="1"/>
    <col min="20" max="20" width="12.109375" style="124" bestFit="1" customWidth="1"/>
    <col min="21" max="21" width="8.88671875" style="124"/>
    <col min="22" max="22" width="11.33203125" style="124" bestFit="1" customWidth="1"/>
    <col min="23" max="23" width="9.5546875" style="124" bestFit="1" customWidth="1"/>
    <col min="24" max="16384" width="8.88671875" style="124"/>
  </cols>
  <sheetData>
    <row r="2" spans="2:23" x14ac:dyDescent="0.3">
      <c r="B2" s="201" t="s">
        <v>30</v>
      </c>
    </row>
    <row r="3" spans="2:23" x14ac:dyDescent="0.3">
      <c r="V3" s="188"/>
      <c r="W3" s="185"/>
    </row>
    <row r="4" spans="2:23" x14ac:dyDescent="0.3">
      <c r="B4" s="267" t="s">
        <v>31</v>
      </c>
      <c r="C4" s="267"/>
      <c r="D4" s="267"/>
      <c r="F4" s="267" t="s">
        <v>32</v>
      </c>
      <c r="G4" s="267"/>
      <c r="I4" s="267" t="s">
        <v>33</v>
      </c>
      <c r="J4" s="267"/>
      <c r="V4" s="188"/>
      <c r="W4" s="185"/>
    </row>
    <row r="5" spans="2:23" x14ac:dyDescent="0.3">
      <c r="B5" s="201"/>
      <c r="L5" s="124" t="s">
        <v>34</v>
      </c>
      <c r="M5" s="125">
        <f>SLOPE(D8:D67,G8:G67)</f>
        <v>1.1953035668741434</v>
      </c>
      <c r="V5" s="188"/>
      <c r="W5" s="185"/>
    </row>
    <row r="6" spans="2:23" x14ac:dyDescent="0.3">
      <c r="B6" s="200" t="s">
        <v>35</v>
      </c>
      <c r="C6" s="176" t="s">
        <v>36</v>
      </c>
      <c r="D6" s="176" t="s">
        <v>37</v>
      </c>
      <c r="F6" s="176" t="s">
        <v>36</v>
      </c>
      <c r="G6" s="176" t="s">
        <v>37</v>
      </c>
      <c r="I6" s="124" t="s">
        <v>38</v>
      </c>
      <c r="J6" s="125">
        <f>M7</f>
        <v>1.195303566874143</v>
      </c>
      <c r="L6" s="124" t="s">
        <v>39</v>
      </c>
      <c r="M6" s="125">
        <f>_xlfn.COVARIANCE.S(D7:D67,G7:G67)/_xlfn.VAR.S(G7:G67)</f>
        <v>1.1953035668741427</v>
      </c>
      <c r="V6" s="188"/>
      <c r="W6" s="185"/>
    </row>
    <row r="7" spans="2:23" x14ac:dyDescent="0.3">
      <c r="B7" s="187">
        <v>44317</v>
      </c>
      <c r="C7" s="223">
        <v>1571.8</v>
      </c>
      <c r="F7" s="193">
        <v>15582.8</v>
      </c>
      <c r="I7" s="124" t="s">
        <v>40</v>
      </c>
      <c r="J7" s="192">
        <v>0.75</v>
      </c>
      <c r="L7" s="124" t="s">
        <v>41</v>
      </c>
      <c r="M7" s="125">
        <f>M30</f>
        <v>1.195303566874143</v>
      </c>
      <c r="V7" s="188"/>
      <c r="W7" s="185"/>
    </row>
    <row r="8" spans="2:23" x14ac:dyDescent="0.3">
      <c r="B8" s="187">
        <v>44348</v>
      </c>
      <c r="C8" s="223">
        <v>1705.97</v>
      </c>
      <c r="D8" s="172">
        <f>C8/C7-1</f>
        <v>8.5360732917673987E-2</v>
      </c>
      <c r="F8" s="193">
        <v>15721.5</v>
      </c>
      <c r="G8" s="172">
        <f>F8/F7-1</f>
        <v>8.9008393870164682E-3</v>
      </c>
      <c r="V8" s="188"/>
      <c r="W8" s="185"/>
    </row>
    <row r="9" spans="2:23" x14ac:dyDescent="0.3">
      <c r="B9" s="187">
        <v>44378</v>
      </c>
      <c r="C9" s="223">
        <v>1688.29</v>
      </c>
      <c r="D9" s="172">
        <f t="shared" ref="D9:D67" si="0">C9/C8-1</f>
        <v>-1.0363605456133462E-2</v>
      </c>
      <c r="F9" s="193">
        <v>15763.05</v>
      </c>
      <c r="G9" s="172">
        <f t="shared" ref="G9:G67" si="1">F9/F8-1</f>
        <v>2.6428775880162902E-3</v>
      </c>
      <c r="I9" s="124" t="s">
        <v>42</v>
      </c>
      <c r="J9" s="194">
        <v>1</v>
      </c>
      <c r="V9" s="188"/>
      <c r="W9" s="185"/>
    </row>
    <row r="10" spans="2:23" x14ac:dyDescent="0.3">
      <c r="B10" s="187">
        <v>44409</v>
      </c>
      <c r="C10" s="223">
        <v>1896.71</v>
      </c>
      <c r="D10" s="172">
        <f t="shared" si="0"/>
        <v>0.12345035509302327</v>
      </c>
      <c r="F10" s="193">
        <v>17132.2</v>
      </c>
      <c r="G10" s="172">
        <f t="shared" si="1"/>
        <v>8.6858190515160638E-2</v>
      </c>
      <c r="I10" s="124" t="s">
        <v>43</v>
      </c>
      <c r="J10" s="192">
        <v>0.25</v>
      </c>
      <c r="V10" s="188"/>
      <c r="W10" s="185"/>
    </row>
    <row r="11" spans="2:23" x14ac:dyDescent="0.3">
      <c r="B11" s="187">
        <v>44440</v>
      </c>
      <c r="C11" s="223">
        <v>2133.85</v>
      </c>
      <c r="D11" s="172">
        <f t="shared" si="0"/>
        <v>0.12502702047229142</v>
      </c>
      <c r="F11" s="193">
        <v>17618.150000000001</v>
      </c>
      <c r="G11" s="172">
        <f t="shared" si="1"/>
        <v>2.8364716732235173E-2</v>
      </c>
      <c r="L11"/>
      <c r="M11"/>
      <c r="N11"/>
      <c r="O11"/>
      <c r="P11"/>
      <c r="Q11"/>
      <c r="R11"/>
      <c r="S11"/>
      <c r="T11"/>
      <c r="U11"/>
      <c r="V11" s="188"/>
      <c r="W11" s="185"/>
    </row>
    <row r="12" spans="2:23" x14ac:dyDescent="0.3">
      <c r="B12" s="187">
        <v>44470</v>
      </c>
      <c r="C12" s="223">
        <v>2352.6799999999998</v>
      </c>
      <c r="D12" s="172">
        <f t="shared" si="0"/>
        <v>0.10255172575391902</v>
      </c>
      <c r="F12" s="193">
        <v>17671.650000000001</v>
      </c>
      <c r="G12" s="172">
        <f t="shared" si="1"/>
        <v>3.0366411910445201E-3</v>
      </c>
      <c r="I12" s="127" t="s">
        <v>44</v>
      </c>
      <c r="J12" s="175">
        <f>(J6*J7)+(J9*J10)</f>
        <v>1.1464776751556072</v>
      </c>
      <c r="L12"/>
      <c r="M12"/>
      <c r="N12"/>
      <c r="O12"/>
      <c r="P12"/>
      <c r="Q12"/>
      <c r="R12"/>
      <c r="S12"/>
      <c r="T12"/>
      <c r="U12"/>
      <c r="V12" s="188"/>
      <c r="W12" s="185"/>
    </row>
    <row r="13" spans="2:23" x14ac:dyDescent="0.3">
      <c r="B13" s="187">
        <v>44501</v>
      </c>
      <c r="C13" s="223">
        <v>2344.73</v>
      </c>
      <c r="D13" s="172">
        <f t="shared" si="0"/>
        <v>-3.3791250828840713E-3</v>
      </c>
      <c r="F13" s="193">
        <v>16983.2</v>
      </c>
      <c r="G13" s="172">
        <f t="shared" si="1"/>
        <v>-3.8957878862471818E-2</v>
      </c>
      <c r="L13" t="s">
        <v>45</v>
      </c>
      <c r="M13"/>
      <c r="N13"/>
      <c r="O13"/>
      <c r="P13"/>
      <c r="Q13"/>
      <c r="R13"/>
      <c r="S13"/>
      <c r="T13"/>
      <c r="U13"/>
      <c r="V13" s="188"/>
      <c r="W13" s="185"/>
    </row>
    <row r="14" spans="2:23" ht="15" thickBot="1" x14ac:dyDescent="0.35">
      <c r="B14" s="187">
        <v>44531</v>
      </c>
      <c r="C14" s="223">
        <v>2489.73</v>
      </c>
      <c r="D14" s="172">
        <f t="shared" si="0"/>
        <v>6.1840808963078864E-2</v>
      </c>
      <c r="F14" s="193">
        <v>17354.05</v>
      </c>
      <c r="G14" s="172">
        <f t="shared" si="1"/>
        <v>2.1836285270149247E-2</v>
      </c>
      <c r="L14"/>
      <c r="M14"/>
      <c r="N14"/>
      <c r="O14"/>
      <c r="P14"/>
      <c r="Q14"/>
      <c r="R14"/>
      <c r="S14"/>
      <c r="T14"/>
      <c r="U14"/>
      <c r="V14" s="188"/>
      <c r="W14" s="185"/>
    </row>
    <row r="15" spans="2:23" x14ac:dyDescent="0.3">
      <c r="B15" s="187">
        <v>44562</v>
      </c>
      <c r="C15" s="223">
        <v>2329.73</v>
      </c>
      <c r="D15" s="172">
        <f t="shared" si="0"/>
        <v>-6.4263996497612164E-2</v>
      </c>
      <c r="F15" s="193">
        <v>17339.849999999999</v>
      </c>
      <c r="G15" s="172">
        <f t="shared" si="1"/>
        <v>-8.1825279977876253E-4</v>
      </c>
      <c r="L15" s="226" t="s">
        <v>46</v>
      </c>
      <c r="M15" s="226"/>
      <c r="N15"/>
      <c r="O15"/>
      <c r="P15"/>
      <c r="Q15"/>
      <c r="R15"/>
      <c r="S15"/>
      <c r="T15"/>
      <c r="U15"/>
      <c r="V15" s="188"/>
      <c r="W15" s="185"/>
    </row>
    <row r="16" spans="2:23" x14ac:dyDescent="0.3">
      <c r="B16" s="187">
        <v>44593</v>
      </c>
      <c r="C16" s="223">
        <v>2513.56</v>
      </c>
      <c r="D16" s="172">
        <f t="shared" si="0"/>
        <v>7.8906139338034809E-2</v>
      </c>
      <c r="F16" s="193">
        <v>16793.900000000001</v>
      </c>
      <c r="G16" s="172">
        <f t="shared" si="1"/>
        <v>-3.1485278131010208E-2</v>
      </c>
      <c r="L16" t="s">
        <v>47</v>
      </c>
      <c r="M16">
        <v>0.6341747549923733</v>
      </c>
      <c r="N16"/>
      <c r="O16"/>
      <c r="P16"/>
      <c r="Q16"/>
      <c r="R16"/>
      <c r="S16"/>
      <c r="T16"/>
      <c r="U16"/>
      <c r="V16" s="188"/>
      <c r="W16" s="185"/>
    </row>
    <row r="17" spans="2:23" x14ac:dyDescent="0.3">
      <c r="B17" s="187">
        <v>44621</v>
      </c>
      <c r="C17" s="223">
        <v>2503.3000000000002</v>
      </c>
      <c r="D17" s="172">
        <f t="shared" si="0"/>
        <v>-4.0818599914065334E-3</v>
      </c>
      <c r="F17" s="193">
        <v>17464.75</v>
      </c>
      <c r="G17" s="172">
        <f t="shared" si="1"/>
        <v>3.9946051840251462E-2</v>
      </c>
      <c r="L17" t="s">
        <v>48</v>
      </c>
      <c r="M17">
        <v>0.40217761986963668</v>
      </c>
      <c r="N17"/>
      <c r="O17"/>
      <c r="P17"/>
      <c r="Q17"/>
      <c r="R17"/>
      <c r="S17"/>
      <c r="T17"/>
      <c r="U17"/>
      <c r="V17" s="188"/>
      <c r="W17" s="185"/>
    </row>
    <row r="18" spans="2:23" x14ac:dyDescent="0.3">
      <c r="B18" s="187">
        <v>44652</v>
      </c>
      <c r="C18" s="223">
        <v>2426.36</v>
      </c>
      <c r="D18" s="172">
        <f t="shared" si="0"/>
        <v>-3.0735429233411882E-2</v>
      </c>
      <c r="F18" s="193">
        <v>17102.55</v>
      </c>
      <c r="G18" s="172">
        <f t="shared" si="1"/>
        <v>-2.0738916961307807E-2</v>
      </c>
      <c r="L18" t="s">
        <v>49</v>
      </c>
      <c r="M18">
        <v>0.39187033745359595</v>
      </c>
      <c r="N18"/>
      <c r="O18"/>
      <c r="P18"/>
      <c r="Q18"/>
      <c r="R18"/>
      <c r="S18"/>
      <c r="T18"/>
      <c r="U18"/>
      <c r="V18" s="188"/>
      <c r="W18" s="185"/>
    </row>
    <row r="19" spans="2:23" x14ac:dyDescent="0.3">
      <c r="B19" s="187">
        <v>44682</v>
      </c>
      <c r="C19" s="223">
        <v>2187.3000000000002</v>
      </c>
      <c r="D19" s="172">
        <f t="shared" si="0"/>
        <v>-9.852618737532759E-2</v>
      </c>
      <c r="F19" s="193">
        <v>16584.55</v>
      </c>
      <c r="G19" s="172">
        <f t="shared" si="1"/>
        <v>-3.0287881046978327E-2</v>
      </c>
      <c r="L19" t="s">
        <v>50</v>
      </c>
      <c r="M19">
        <v>5.5886874193364293E-2</v>
      </c>
      <c r="N19"/>
      <c r="O19"/>
      <c r="P19"/>
      <c r="Q19"/>
      <c r="R19"/>
      <c r="S19"/>
      <c r="T19"/>
      <c r="U19"/>
      <c r="V19" s="188"/>
      <c r="W19" s="185"/>
    </row>
    <row r="20" spans="2:23" ht="15" thickBot="1" x14ac:dyDescent="0.35">
      <c r="B20" s="187">
        <v>44713</v>
      </c>
      <c r="C20" s="223">
        <v>1916.1</v>
      </c>
      <c r="D20" s="172">
        <f t="shared" si="0"/>
        <v>-0.12398847894664666</v>
      </c>
      <c r="F20" s="193">
        <v>15780.25</v>
      </c>
      <c r="G20" s="172">
        <f t="shared" si="1"/>
        <v>-4.8496944445281853E-2</v>
      </c>
      <c r="L20" s="224" t="s">
        <v>51</v>
      </c>
      <c r="M20" s="224">
        <v>60</v>
      </c>
      <c r="N20"/>
      <c r="O20"/>
      <c r="P20"/>
      <c r="Q20"/>
      <c r="R20"/>
      <c r="S20"/>
      <c r="T20"/>
      <c r="U20"/>
      <c r="V20" s="188"/>
      <c r="W20" s="185"/>
    </row>
    <row r="21" spans="2:23" x14ac:dyDescent="0.3">
      <c r="B21" s="187">
        <v>44743</v>
      </c>
      <c r="C21" s="223">
        <v>2321.58</v>
      </c>
      <c r="D21" s="172">
        <f t="shared" si="0"/>
        <v>0.211617347737592</v>
      </c>
      <c r="F21" s="193">
        <v>17158.25</v>
      </c>
      <c r="G21" s="172">
        <f t="shared" si="1"/>
        <v>8.7324345305048956E-2</v>
      </c>
      <c r="L21"/>
      <c r="M21"/>
      <c r="N21"/>
      <c r="O21"/>
      <c r="P21"/>
      <c r="Q21"/>
      <c r="R21"/>
      <c r="S21"/>
      <c r="T21"/>
      <c r="U21"/>
      <c r="V21" s="188"/>
      <c r="W21" s="185"/>
    </row>
    <row r="22" spans="2:23" ht="15" thickBot="1" x14ac:dyDescent="0.35">
      <c r="B22" s="187">
        <v>44774</v>
      </c>
      <c r="C22" s="223">
        <v>2580.0100000000002</v>
      </c>
      <c r="D22" s="172">
        <f t="shared" si="0"/>
        <v>0.11131643105126687</v>
      </c>
      <c r="F22" s="193">
        <v>17759.3</v>
      </c>
      <c r="G22" s="172">
        <f t="shared" si="1"/>
        <v>3.5029796162195925E-2</v>
      </c>
      <c r="L22" t="s">
        <v>52</v>
      </c>
      <c r="M22"/>
      <c r="N22"/>
      <c r="O22"/>
      <c r="P22"/>
      <c r="Q22"/>
      <c r="R22"/>
      <c r="S22"/>
      <c r="T22"/>
      <c r="U22"/>
      <c r="V22" s="188"/>
      <c r="W22" s="185"/>
    </row>
    <row r="23" spans="2:23" x14ac:dyDescent="0.3">
      <c r="B23" s="187">
        <v>44805</v>
      </c>
      <c r="C23" s="223">
        <v>2582.2800000000002</v>
      </c>
      <c r="D23" s="172">
        <f t="shared" si="0"/>
        <v>8.7984155100162553E-4</v>
      </c>
      <c r="F23" s="193">
        <v>17094.349999999999</v>
      </c>
      <c r="G23" s="172">
        <f t="shared" si="1"/>
        <v>-3.7442354146841383E-2</v>
      </c>
      <c r="L23" s="225"/>
      <c r="M23" s="225" t="s">
        <v>53</v>
      </c>
      <c r="N23" s="225" t="s">
        <v>54</v>
      </c>
      <c r="O23" s="225" t="s">
        <v>55</v>
      </c>
      <c r="P23" s="225" t="s">
        <v>56</v>
      </c>
      <c r="Q23" s="225" t="s">
        <v>57</v>
      </c>
      <c r="R23"/>
      <c r="S23"/>
      <c r="T23"/>
      <c r="U23"/>
      <c r="V23" s="188"/>
      <c r="W23" s="185"/>
    </row>
    <row r="24" spans="2:23" x14ac:dyDescent="0.3">
      <c r="B24" s="187">
        <v>44835</v>
      </c>
      <c r="C24" s="223">
        <v>2735.37</v>
      </c>
      <c r="D24" s="172">
        <f t="shared" si="0"/>
        <v>5.9284818067753875E-2</v>
      </c>
      <c r="F24" s="193">
        <v>18012.2</v>
      </c>
      <c r="G24" s="172">
        <f t="shared" si="1"/>
        <v>5.3693179325332796E-2</v>
      </c>
      <c r="L24" t="s">
        <v>58</v>
      </c>
      <c r="M24">
        <v>1</v>
      </c>
      <c r="N24">
        <v>0.12186903252265383</v>
      </c>
      <c r="O24">
        <v>0.12186903252265383</v>
      </c>
      <c r="P24">
        <v>39.018783384041775</v>
      </c>
      <c r="Q24">
        <v>5.3279022709744964E-8</v>
      </c>
      <c r="R24"/>
      <c r="S24"/>
      <c r="T24"/>
      <c r="U24"/>
      <c r="V24" s="188"/>
      <c r="W24" s="185"/>
    </row>
    <row r="25" spans="2:23" x14ac:dyDescent="0.3">
      <c r="B25" s="187">
        <v>44866</v>
      </c>
      <c r="C25" s="223">
        <v>2627.9</v>
      </c>
      <c r="D25" s="172">
        <f t="shared" si="0"/>
        <v>-3.9289017573490903E-2</v>
      </c>
      <c r="F25" s="193">
        <v>18758.349999999999</v>
      </c>
      <c r="G25" s="172">
        <f t="shared" si="1"/>
        <v>4.1424701035964295E-2</v>
      </c>
      <c r="L25" t="s">
        <v>59</v>
      </c>
      <c r="M25">
        <v>58</v>
      </c>
      <c r="N25">
        <v>0.18115387701208582</v>
      </c>
      <c r="O25">
        <v>3.1233427071049279E-3</v>
      </c>
      <c r="P25"/>
      <c r="Q25"/>
      <c r="R25"/>
      <c r="S25"/>
      <c r="T25"/>
      <c r="U25"/>
      <c r="V25" s="188"/>
      <c r="W25" s="185"/>
    </row>
    <row r="26" spans="2:23" ht="15" thickBot="1" x14ac:dyDescent="0.35">
      <c r="B26" s="187">
        <v>44896</v>
      </c>
      <c r="C26" s="223">
        <v>2572.92</v>
      </c>
      <c r="D26" s="172">
        <f t="shared" si="0"/>
        <v>-2.0921648464553466E-2</v>
      </c>
      <c r="F26" s="193">
        <v>18105.3</v>
      </c>
      <c r="G26" s="172">
        <f t="shared" si="1"/>
        <v>-3.4813829574562805E-2</v>
      </c>
      <c r="L26" s="224" t="s">
        <v>60</v>
      </c>
      <c r="M26" s="224">
        <v>59</v>
      </c>
      <c r="N26" s="224">
        <v>0.30302290953473965</v>
      </c>
      <c r="O26" s="224"/>
      <c r="P26" s="224"/>
      <c r="Q26" s="224"/>
      <c r="R26"/>
      <c r="S26"/>
      <c r="T26"/>
      <c r="U26"/>
      <c r="V26" s="188"/>
      <c r="W26" s="185"/>
    </row>
    <row r="27" spans="2:23" ht="15" thickBot="1" x14ac:dyDescent="0.35">
      <c r="B27" s="187">
        <v>44927</v>
      </c>
      <c r="C27" s="223">
        <v>2354.66</v>
      </c>
      <c r="D27" s="172">
        <f t="shared" si="0"/>
        <v>-8.4829687670040399E-2</v>
      </c>
      <c r="F27" s="193">
        <v>17662.150000000001</v>
      </c>
      <c r="G27" s="172">
        <f t="shared" si="1"/>
        <v>-2.4476258333195111E-2</v>
      </c>
      <c r="L27"/>
      <c r="M27"/>
      <c r="N27"/>
      <c r="O27"/>
      <c r="P27"/>
      <c r="Q27"/>
      <c r="R27"/>
      <c r="S27"/>
      <c r="T27"/>
      <c r="U27"/>
      <c r="V27" s="188"/>
      <c r="W27" s="185"/>
    </row>
    <row r="28" spans="2:23" x14ac:dyDescent="0.3">
      <c r="B28" s="187">
        <v>44958</v>
      </c>
      <c r="C28" s="223">
        <v>2350.35</v>
      </c>
      <c r="D28" s="172">
        <f t="shared" si="0"/>
        <v>-1.830412883388699E-3</v>
      </c>
      <c r="F28" s="193">
        <v>17303.95</v>
      </c>
      <c r="G28" s="172">
        <f t="shared" si="1"/>
        <v>-2.0280656658447582E-2</v>
      </c>
      <c r="L28" s="225"/>
      <c r="M28" s="225" t="s">
        <v>61</v>
      </c>
      <c r="N28" s="225" t="s">
        <v>50</v>
      </c>
      <c r="O28" s="225" t="s">
        <v>62</v>
      </c>
      <c r="P28" s="225" t="s">
        <v>63</v>
      </c>
      <c r="Q28" s="225" t="s">
        <v>64</v>
      </c>
      <c r="R28" s="225" t="s">
        <v>65</v>
      </c>
      <c r="S28" s="225" t="s">
        <v>66</v>
      </c>
      <c r="T28" s="225" t="s">
        <v>67</v>
      </c>
      <c r="U28"/>
      <c r="V28" s="188"/>
      <c r="W28" s="185"/>
    </row>
    <row r="29" spans="2:23" x14ac:dyDescent="0.3">
      <c r="B29" s="187">
        <v>44986</v>
      </c>
      <c r="C29" s="223">
        <v>2491.11</v>
      </c>
      <c r="D29" s="172">
        <f t="shared" si="0"/>
        <v>5.9888952709171051E-2</v>
      </c>
      <c r="F29" s="193">
        <v>17359.75</v>
      </c>
      <c r="G29" s="172">
        <f t="shared" si="1"/>
        <v>3.2246972512055549E-3</v>
      </c>
      <c r="L29" t="s">
        <v>68</v>
      </c>
      <c r="M29">
        <v>1.0612520271248259E-2</v>
      </c>
      <c r="N29">
        <v>7.3452980200858315E-3</v>
      </c>
      <c r="O29">
        <v>1.4448045868565382</v>
      </c>
      <c r="P29">
        <v>0.15389392624597367</v>
      </c>
      <c r="Q29">
        <v>-4.0906912018149298E-3</v>
      </c>
      <c r="R29">
        <v>2.5315731744311447E-2</v>
      </c>
      <c r="S29">
        <v>-4.0906912018149298E-3</v>
      </c>
      <c r="T29">
        <v>2.5315731744311447E-2</v>
      </c>
      <c r="U29"/>
      <c r="V29" s="188"/>
      <c r="W29" s="185"/>
    </row>
    <row r="30" spans="2:23" ht="15" thickBot="1" x14ac:dyDescent="0.35">
      <c r="B30" s="187">
        <v>45017</v>
      </c>
      <c r="C30" s="223">
        <v>2616.85</v>
      </c>
      <c r="D30" s="172">
        <f t="shared" si="0"/>
        <v>5.0475490845446336E-2</v>
      </c>
      <c r="F30" s="193">
        <v>18065</v>
      </c>
      <c r="G30" s="172">
        <f t="shared" si="1"/>
        <v>4.0625585045867663E-2</v>
      </c>
      <c r="L30" s="224" t="s">
        <v>69</v>
      </c>
      <c r="M30" s="224">
        <v>1.195303566874143</v>
      </c>
      <c r="N30" s="224">
        <v>0.19135567808587164</v>
      </c>
      <c r="O30" s="224">
        <v>6.2465016916704483</v>
      </c>
      <c r="P30" s="224">
        <v>5.3279022709744964E-8</v>
      </c>
      <c r="Q30" s="224">
        <v>0.81226356035918645</v>
      </c>
      <c r="R30" s="224">
        <v>1.5783435733890996</v>
      </c>
      <c r="S30" s="224">
        <v>0.81226356035918645</v>
      </c>
      <c r="T30" s="224">
        <v>1.5783435733890996</v>
      </c>
      <c r="U30"/>
      <c r="V30" s="188"/>
      <c r="W30" s="185"/>
    </row>
    <row r="31" spans="2:23" x14ac:dyDescent="0.3">
      <c r="B31" s="187">
        <v>45047</v>
      </c>
      <c r="C31" s="223">
        <v>2796.54</v>
      </c>
      <c r="D31" s="172">
        <f t="shared" si="0"/>
        <v>6.866652654909533E-2</v>
      </c>
      <c r="F31" s="193">
        <v>18534.400000000001</v>
      </c>
      <c r="G31" s="172">
        <f t="shared" si="1"/>
        <v>2.5983946858566309E-2</v>
      </c>
      <c r="L31"/>
      <c r="M31"/>
      <c r="N31"/>
      <c r="O31"/>
      <c r="P31"/>
      <c r="Q31"/>
      <c r="R31"/>
      <c r="S31"/>
      <c r="T31"/>
      <c r="U31"/>
      <c r="V31" s="188"/>
      <c r="W31" s="185"/>
    </row>
    <row r="32" spans="2:23" x14ac:dyDescent="0.3">
      <c r="B32" s="187">
        <v>45078</v>
      </c>
      <c r="C32" s="223">
        <v>3018.81</v>
      </c>
      <c r="D32" s="172">
        <f t="shared" si="0"/>
        <v>7.9480357870797436E-2</v>
      </c>
      <c r="F32" s="193">
        <v>19189.05</v>
      </c>
      <c r="G32" s="172">
        <f t="shared" si="1"/>
        <v>3.5320808874309328E-2</v>
      </c>
      <c r="L32"/>
      <c r="M32"/>
      <c r="N32"/>
      <c r="O32"/>
      <c r="P32"/>
      <c r="Q32"/>
      <c r="R32"/>
      <c r="S32"/>
      <c r="T32"/>
      <c r="V32" s="188"/>
      <c r="W32" s="185"/>
    </row>
    <row r="33" spans="2:23" x14ac:dyDescent="0.3">
      <c r="B33" s="187">
        <v>45108</v>
      </c>
      <c r="C33" s="223">
        <v>2975.63</v>
      </c>
      <c r="D33" s="172">
        <f t="shared" si="0"/>
        <v>-1.4303649451273825E-2</v>
      </c>
      <c r="F33" s="193">
        <v>19753.8</v>
      </c>
      <c r="G33" s="172">
        <f t="shared" si="1"/>
        <v>2.9430847280089489E-2</v>
      </c>
      <c r="L33"/>
      <c r="M33"/>
      <c r="N33"/>
      <c r="O33"/>
      <c r="P33"/>
      <c r="Q33"/>
      <c r="R33"/>
      <c r="S33"/>
      <c r="T33"/>
      <c r="V33" s="188"/>
      <c r="W33" s="185"/>
    </row>
    <row r="34" spans="2:23" x14ac:dyDescent="0.3">
      <c r="B34" s="187">
        <v>45139</v>
      </c>
      <c r="C34" s="223">
        <v>3085.04</v>
      </c>
      <c r="D34" s="172">
        <f t="shared" si="0"/>
        <v>3.6768684278623232E-2</v>
      </c>
      <c r="F34" s="193">
        <v>19253.8</v>
      </c>
      <c r="G34" s="172">
        <f t="shared" si="1"/>
        <v>-2.5311585618969512E-2</v>
      </c>
      <c r="V34" s="188"/>
      <c r="W34" s="185"/>
    </row>
    <row r="35" spans="2:23" x14ac:dyDescent="0.3">
      <c r="B35" s="187">
        <v>45170</v>
      </c>
      <c r="C35" s="223">
        <v>3129.11</v>
      </c>
      <c r="D35" s="172">
        <f t="shared" si="0"/>
        <v>1.4285065995902846E-2</v>
      </c>
      <c r="F35" s="193">
        <v>19638.3</v>
      </c>
      <c r="G35" s="172">
        <f t="shared" si="1"/>
        <v>1.9970083827608009E-2</v>
      </c>
      <c r="V35" s="188"/>
      <c r="W35" s="185"/>
    </row>
    <row r="36" spans="2:23" x14ac:dyDescent="0.3">
      <c r="B36" s="187">
        <v>45200</v>
      </c>
      <c r="C36" s="223">
        <v>3169.71</v>
      </c>
      <c r="D36" s="172">
        <f t="shared" si="0"/>
        <v>1.2974935365007934E-2</v>
      </c>
      <c r="F36" s="193">
        <v>19079.599999999999</v>
      </c>
      <c r="G36" s="172">
        <f t="shared" si="1"/>
        <v>-2.844950937708457E-2</v>
      </c>
      <c r="V36" s="188"/>
      <c r="W36" s="185"/>
    </row>
    <row r="37" spans="2:23" x14ac:dyDescent="0.3">
      <c r="B37" s="187">
        <v>45231</v>
      </c>
      <c r="C37" s="223">
        <v>3468.78</v>
      </c>
      <c r="D37" s="172">
        <f t="shared" si="0"/>
        <v>9.4352480195349253E-2</v>
      </c>
      <c r="F37" s="193">
        <v>20133.150000000001</v>
      </c>
      <c r="G37" s="172">
        <f t="shared" si="1"/>
        <v>5.5218662865049728E-2</v>
      </c>
      <c r="V37" s="188"/>
      <c r="W37" s="185"/>
    </row>
    <row r="38" spans="2:23" x14ac:dyDescent="0.3">
      <c r="B38" s="187">
        <v>45261</v>
      </c>
      <c r="C38" s="223">
        <v>3652.47</v>
      </c>
      <c r="D38" s="172">
        <f t="shared" si="0"/>
        <v>5.2955217684603761E-2</v>
      </c>
      <c r="F38" s="193">
        <v>21731.4</v>
      </c>
      <c r="G38" s="172">
        <f t="shared" si="1"/>
        <v>7.9384001013254268E-2</v>
      </c>
      <c r="V38" s="188"/>
      <c r="W38" s="185"/>
    </row>
    <row r="39" spans="2:23" x14ac:dyDescent="0.3">
      <c r="B39" s="187">
        <v>45292</v>
      </c>
      <c r="C39" s="223">
        <v>3674.43</v>
      </c>
      <c r="D39" s="172">
        <f t="shared" si="0"/>
        <v>6.0123697114555785E-3</v>
      </c>
      <c r="F39" s="193">
        <v>21725.7</v>
      </c>
      <c r="G39" s="172">
        <f t="shared" si="1"/>
        <v>-2.6229327148741266E-4</v>
      </c>
      <c r="V39" s="188"/>
      <c r="W39" s="185"/>
    </row>
    <row r="40" spans="2:23" x14ac:dyDescent="0.3">
      <c r="B40" s="187">
        <v>45323</v>
      </c>
      <c r="C40" s="223">
        <v>3601.74</v>
      </c>
      <c r="D40" s="172">
        <f t="shared" si="0"/>
        <v>-1.9782660167699473E-2</v>
      </c>
      <c r="F40" s="193">
        <v>21982.799999999999</v>
      </c>
      <c r="G40" s="172">
        <f t="shared" si="1"/>
        <v>1.1833910990209695E-2</v>
      </c>
      <c r="V40" s="188"/>
      <c r="W40" s="185"/>
    </row>
    <row r="41" spans="2:23" x14ac:dyDescent="0.3">
      <c r="B41" s="187">
        <v>45352</v>
      </c>
      <c r="C41" s="223">
        <v>3778.03</v>
      </c>
      <c r="D41" s="172">
        <f t="shared" si="0"/>
        <v>4.8945787313909417E-2</v>
      </c>
      <c r="F41" s="193">
        <v>22326.9</v>
      </c>
      <c r="G41" s="172">
        <f t="shared" si="1"/>
        <v>1.5653147005840973E-2</v>
      </c>
      <c r="V41" s="188"/>
      <c r="W41" s="185"/>
    </row>
    <row r="42" spans="2:23" x14ac:dyDescent="0.3">
      <c r="B42" s="187">
        <v>45383</v>
      </c>
      <c r="C42" s="223">
        <v>3566.81</v>
      </c>
      <c r="D42" s="172">
        <f t="shared" si="0"/>
        <v>-5.5907443826544556E-2</v>
      </c>
      <c r="F42" s="193">
        <v>22604.85</v>
      </c>
      <c r="G42" s="172">
        <f t="shared" si="1"/>
        <v>1.2449108474530624E-2</v>
      </c>
      <c r="V42" s="188"/>
      <c r="W42" s="185"/>
    </row>
    <row r="43" spans="2:23" x14ac:dyDescent="0.3">
      <c r="B43" s="187">
        <v>45413</v>
      </c>
      <c r="C43" s="223">
        <v>3221.63</v>
      </c>
      <c r="D43" s="172">
        <f t="shared" si="0"/>
        <v>-9.6775550141442901E-2</v>
      </c>
      <c r="F43" s="193">
        <v>22530.7</v>
      </c>
      <c r="G43" s="172">
        <f t="shared" si="1"/>
        <v>-3.2802694996869608E-3</v>
      </c>
      <c r="V43" s="188"/>
      <c r="W43" s="185"/>
    </row>
    <row r="44" spans="2:23" x14ac:dyDescent="0.3">
      <c r="B44" s="187">
        <v>45444</v>
      </c>
      <c r="C44" s="223">
        <v>3382.92</v>
      </c>
      <c r="D44" s="172">
        <f t="shared" si="0"/>
        <v>5.006471879141916E-2</v>
      </c>
      <c r="F44" s="193">
        <v>24010.6</v>
      </c>
      <c r="G44" s="172">
        <f t="shared" si="1"/>
        <v>6.5683711558007341E-2</v>
      </c>
      <c r="V44" s="188"/>
      <c r="W44" s="185"/>
    </row>
    <row r="45" spans="2:23" x14ac:dyDescent="0.3">
      <c r="B45" s="187">
        <v>45474</v>
      </c>
      <c r="C45" s="223">
        <v>3448.57</v>
      </c>
      <c r="D45" s="172">
        <f t="shared" si="0"/>
        <v>1.9406311707045987E-2</v>
      </c>
      <c r="F45" s="193">
        <v>24951.15</v>
      </c>
      <c r="G45" s="172">
        <f t="shared" si="1"/>
        <v>3.917228224200997E-2</v>
      </c>
      <c r="V45" s="188"/>
      <c r="W45" s="185"/>
    </row>
    <row r="46" spans="2:23" x14ac:dyDescent="0.3">
      <c r="B46" s="187">
        <v>45505</v>
      </c>
      <c r="C46" s="223">
        <v>3554.45</v>
      </c>
      <c r="D46" s="172">
        <f t="shared" si="0"/>
        <v>3.07025810698347E-2</v>
      </c>
      <c r="F46" s="193">
        <v>25235.9</v>
      </c>
      <c r="G46" s="172">
        <f t="shared" si="1"/>
        <v>1.141229963348378E-2</v>
      </c>
      <c r="V46" s="188"/>
      <c r="W46" s="185"/>
    </row>
    <row r="47" spans="2:23" x14ac:dyDescent="0.3">
      <c r="B47" s="187">
        <v>45536</v>
      </c>
      <c r="C47" s="223">
        <v>3812.48</v>
      </c>
      <c r="D47" s="172">
        <f t="shared" si="0"/>
        <v>7.2593509544373935E-2</v>
      </c>
      <c r="F47" s="193">
        <v>25810.85</v>
      </c>
      <c r="G47" s="172">
        <f t="shared" si="1"/>
        <v>2.2783019428670892E-2</v>
      </c>
      <c r="V47" s="188"/>
      <c r="W47" s="185"/>
    </row>
    <row r="48" spans="2:23" x14ac:dyDescent="0.3">
      <c r="B48" s="187">
        <v>45566</v>
      </c>
      <c r="C48" s="223">
        <v>3257.25</v>
      </c>
      <c r="D48" s="172">
        <f t="shared" si="0"/>
        <v>-0.14563486234681888</v>
      </c>
      <c r="F48" s="193">
        <v>24205.35</v>
      </c>
      <c r="G48" s="172">
        <f t="shared" si="1"/>
        <v>-6.2202523357425266E-2</v>
      </c>
      <c r="V48" s="188"/>
      <c r="W48" s="185"/>
    </row>
    <row r="49" spans="2:23" x14ac:dyDescent="0.3">
      <c r="B49" s="187">
        <v>45597</v>
      </c>
      <c r="C49" s="223">
        <v>3239.25</v>
      </c>
      <c r="D49" s="172">
        <f t="shared" si="0"/>
        <v>-5.5261340087496835E-3</v>
      </c>
      <c r="F49" s="193">
        <v>24131.1</v>
      </c>
      <c r="G49" s="172">
        <f t="shared" si="1"/>
        <v>-3.0675036717089377E-3</v>
      </c>
      <c r="V49" s="188"/>
      <c r="W49" s="185"/>
    </row>
    <row r="50" spans="2:23" x14ac:dyDescent="0.3">
      <c r="B50" s="187">
        <v>45627</v>
      </c>
      <c r="C50" s="223">
        <v>3243.39</v>
      </c>
      <c r="D50" s="172">
        <f t="shared" si="0"/>
        <v>1.2780736281545746E-3</v>
      </c>
      <c r="F50" s="193">
        <v>23644.799999999999</v>
      </c>
      <c r="G50" s="172">
        <f t="shared" si="1"/>
        <v>-2.0152417419844082E-2</v>
      </c>
      <c r="V50" s="188"/>
      <c r="W50" s="185"/>
    </row>
    <row r="51" spans="2:23" x14ac:dyDescent="0.3">
      <c r="B51" s="187">
        <v>45658</v>
      </c>
      <c r="C51" s="223">
        <v>3479.78</v>
      </c>
      <c r="D51" s="172">
        <f t="shared" si="0"/>
        <v>7.2883618682921369E-2</v>
      </c>
      <c r="F51" s="193">
        <v>23508.400000000001</v>
      </c>
      <c r="G51" s="172">
        <f t="shared" si="1"/>
        <v>-5.7687102449586192E-3</v>
      </c>
      <c r="V51" s="188"/>
      <c r="W51" s="185"/>
    </row>
    <row r="52" spans="2:23" x14ac:dyDescent="0.3">
      <c r="B52" s="187">
        <v>45689</v>
      </c>
      <c r="C52" s="223">
        <v>3068.02</v>
      </c>
      <c r="D52" s="172">
        <f t="shared" si="0"/>
        <v>-0.11832931966963434</v>
      </c>
      <c r="F52" s="193">
        <v>22124.7</v>
      </c>
      <c r="G52" s="172">
        <f t="shared" si="1"/>
        <v>-5.8859811811948104E-2</v>
      </c>
      <c r="V52" s="188"/>
      <c r="W52" s="185"/>
    </row>
    <row r="53" spans="2:23" x14ac:dyDescent="0.3">
      <c r="B53" s="187">
        <v>45717</v>
      </c>
      <c r="C53" s="223">
        <v>3054.16</v>
      </c>
      <c r="D53" s="172">
        <f t="shared" si="0"/>
        <v>-4.5175715934056004E-3</v>
      </c>
      <c r="F53" s="193">
        <v>23519.35</v>
      </c>
      <c r="G53" s="172">
        <f t="shared" si="1"/>
        <v>6.3035882972424462E-2</v>
      </c>
      <c r="V53" s="188"/>
      <c r="W53" s="185"/>
    </row>
    <row r="54" spans="2:23" x14ac:dyDescent="0.3">
      <c r="B54" s="187">
        <v>45748</v>
      </c>
      <c r="C54" s="223">
        <v>3369.56</v>
      </c>
      <c r="D54" s="172">
        <f t="shared" si="0"/>
        <v>0.10326898394321193</v>
      </c>
      <c r="F54" s="193">
        <v>24334.2</v>
      </c>
      <c r="G54" s="172">
        <f t="shared" si="1"/>
        <v>3.4645940470293679E-2</v>
      </c>
      <c r="V54" s="188"/>
      <c r="W54" s="185"/>
    </row>
    <row r="55" spans="2:23" x14ac:dyDescent="0.3">
      <c r="B55" s="187">
        <v>45778</v>
      </c>
      <c r="C55" s="223">
        <v>3544.33</v>
      </c>
      <c r="D55" s="172">
        <f t="shared" si="0"/>
        <v>5.1867306117119094E-2</v>
      </c>
      <c r="F55" s="193">
        <v>24750.7</v>
      </c>
      <c r="G55" s="172">
        <f t="shared" si="1"/>
        <v>1.7115828751304685E-2</v>
      </c>
      <c r="V55" s="188"/>
      <c r="W55" s="185"/>
    </row>
    <row r="56" spans="2:23" x14ac:dyDescent="0.3">
      <c r="B56" s="187">
        <v>45809</v>
      </c>
      <c r="C56" s="223">
        <v>3679.13</v>
      </c>
      <c r="D56" s="172">
        <f t="shared" si="0"/>
        <v>3.8032575973456328E-2</v>
      </c>
      <c r="F56" s="193">
        <v>25517.05</v>
      </c>
      <c r="G56" s="172">
        <f t="shared" si="1"/>
        <v>3.0962760649193788E-2</v>
      </c>
      <c r="V56" s="188"/>
      <c r="W56" s="185"/>
    </row>
    <row r="57" spans="2:23" x14ac:dyDescent="0.3">
      <c r="B57" s="187">
        <v>45839</v>
      </c>
      <c r="C57" s="223">
        <v>3337.26</v>
      </c>
      <c r="D57" s="172">
        <f t="shared" si="0"/>
        <v>-9.2921424358476057E-2</v>
      </c>
      <c r="F57" s="193">
        <v>24768.35</v>
      </c>
      <c r="G57" s="172">
        <f t="shared" si="1"/>
        <v>-2.9341166004691055E-2</v>
      </c>
      <c r="V57" s="188"/>
      <c r="W57" s="185"/>
    </row>
    <row r="58" spans="2:23" x14ac:dyDescent="0.3">
      <c r="B58" s="187">
        <v>45870</v>
      </c>
      <c r="C58" s="223">
        <v>3628.8</v>
      </c>
      <c r="D58" s="172">
        <f t="shared" si="0"/>
        <v>8.7359090990812849E-2</v>
      </c>
      <c r="F58" s="193">
        <v>24426.85</v>
      </c>
      <c r="G58" s="172">
        <f t="shared" si="1"/>
        <v>-1.3787757359694952E-2</v>
      </c>
      <c r="V58" s="188"/>
      <c r="W58" s="185"/>
    </row>
    <row r="59" spans="2:23" x14ac:dyDescent="0.3">
      <c r="B59" s="187">
        <v>45901</v>
      </c>
      <c r="C59" s="223">
        <v>3367</v>
      </c>
      <c r="D59" s="172">
        <f t="shared" si="0"/>
        <v>-7.2145061728395077E-2</v>
      </c>
      <c r="F59" s="193">
        <v>24611.1</v>
      </c>
      <c r="G59" s="172">
        <f t="shared" si="1"/>
        <v>7.5429291947182175E-3</v>
      </c>
      <c r="V59" s="188"/>
      <c r="W59" s="185"/>
    </row>
    <row r="60" spans="2:23" x14ac:dyDescent="0.3">
      <c r="B60" s="187">
        <v>45931</v>
      </c>
      <c r="C60" s="223">
        <v>3746.7</v>
      </c>
      <c r="D60" s="172">
        <f t="shared" si="0"/>
        <v>0.11277101277101265</v>
      </c>
      <c r="F60" s="193">
        <v>25722.1</v>
      </c>
      <c r="G60" s="172">
        <f t="shared" si="1"/>
        <v>4.5142232569856722E-2</v>
      </c>
      <c r="V60" s="188"/>
      <c r="W60" s="185"/>
    </row>
    <row r="61" spans="2:23" x14ac:dyDescent="0.3">
      <c r="B61" s="187">
        <v>45962</v>
      </c>
      <c r="C61" s="223">
        <v>3907.7</v>
      </c>
      <c r="D61" s="172">
        <f t="shared" si="0"/>
        <v>4.2971147943523746E-2</v>
      </c>
      <c r="F61" s="193">
        <v>26202.95</v>
      </c>
      <c r="G61" s="172">
        <f t="shared" si="1"/>
        <v>1.8694041310779452E-2</v>
      </c>
      <c r="V61" s="188"/>
      <c r="W61" s="185"/>
    </row>
    <row r="62" spans="2:23" x14ac:dyDescent="0.3">
      <c r="B62" s="187">
        <v>45992</v>
      </c>
      <c r="C62" s="223">
        <v>4051.5</v>
      </c>
      <c r="D62" s="172">
        <f t="shared" si="0"/>
        <v>3.6799140159172961E-2</v>
      </c>
      <c r="F62" s="193">
        <v>26129.599999999999</v>
      </c>
      <c r="G62" s="172">
        <f t="shared" si="1"/>
        <v>-2.7993031318993555E-3</v>
      </c>
      <c r="V62" s="188"/>
      <c r="W62" s="185"/>
    </row>
    <row r="63" spans="2:23" x14ac:dyDescent="0.3">
      <c r="B63" s="187">
        <v>46023</v>
      </c>
      <c r="C63" s="223">
        <v>3977.4</v>
      </c>
      <c r="D63" s="172">
        <f t="shared" si="0"/>
        <v>-1.8289522399111413E-2</v>
      </c>
      <c r="F63" s="193">
        <v>25320.65</v>
      </c>
      <c r="G63" s="172">
        <f t="shared" si="1"/>
        <v>-3.0959142122343852E-2</v>
      </c>
      <c r="V63" s="188"/>
      <c r="W63" s="185"/>
    </row>
    <row r="64" spans="2:23" x14ac:dyDescent="0.3">
      <c r="B64" s="187">
        <v>46054</v>
      </c>
      <c r="C64" s="223">
        <v>4327.5</v>
      </c>
      <c r="D64" s="172">
        <f t="shared" si="0"/>
        <v>8.802232614270622E-2</v>
      </c>
      <c r="F64" s="193">
        <v>25178.65</v>
      </c>
      <c r="G64" s="172">
        <f t="shared" si="1"/>
        <v>-5.6080708828565307E-3</v>
      </c>
    </row>
    <row r="65" spans="2:18" x14ac:dyDescent="0.3">
      <c r="B65" s="187">
        <v>46082</v>
      </c>
      <c r="C65" s="223">
        <v>3951.4</v>
      </c>
      <c r="D65" s="172">
        <f t="shared" si="0"/>
        <v>-8.6909300982091264E-2</v>
      </c>
      <c r="F65" s="193">
        <v>22331.4</v>
      </c>
      <c r="G65" s="172">
        <f t="shared" si="1"/>
        <v>-0.11308191662380629</v>
      </c>
    </row>
    <row r="66" spans="2:18" x14ac:dyDescent="0.3">
      <c r="B66" s="187">
        <v>46113</v>
      </c>
      <c r="C66" s="223">
        <v>4097.2</v>
      </c>
      <c r="D66" s="172">
        <f t="shared" si="0"/>
        <v>3.6898314521435438E-2</v>
      </c>
      <c r="F66" s="193">
        <v>22713.1</v>
      </c>
      <c r="G66" s="172">
        <f t="shared" si="1"/>
        <v>1.7092524427487543E-2</v>
      </c>
    </row>
    <row r="67" spans="2:18" x14ac:dyDescent="0.3">
      <c r="B67" s="187">
        <v>46118</v>
      </c>
      <c r="C67" s="223">
        <v>4246.1000000000004</v>
      </c>
      <c r="D67" s="172">
        <f t="shared" si="0"/>
        <v>3.634189202382121E-2</v>
      </c>
      <c r="F67" s="193">
        <v>22968.25</v>
      </c>
      <c r="G67" s="172">
        <f t="shared" si="1"/>
        <v>1.123360527625028E-2</v>
      </c>
    </row>
    <row r="68" spans="2:18" x14ac:dyDescent="0.3">
      <c r="B68" s="124"/>
      <c r="Q68" s="187"/>
      <c r="R68" s="185"/>
    </row>
    <row r="69" spans="2:18" x14ac:dyDescent="0.3">
      <c r="B69" s="124"/>
      <c r="Q69" s="187"/>
      <c r="R69" s="185"/>
    </row>
    <row r="70" spans="2:18" x14ac:dyDescent="0.3">
      <c r="B70" s="124"/>
    </row>
    <row r="71" spans="2:18" x14ac:dyDescent="0.3">
      <c r="B71" s="124"/>
    </row>
    <row r="72" spans="2:18" x14ac:dyDescent="0.3">
      <c r="B72" s="124"/>
    </row>
    <row r="73" spans="2:18" x14ac:dyDescent="0.3">
      <c r="B73" s="124"/>
    </row>
    <row r="74" spans="2:18" x14ac:dyDescent="0.3">
      <c r="B74" s="124"/>
    </row>
    <row r="75" spans="2:18" x14ac:dyDescent="0.3">
      <c r="B75" s="124"/>
    </row>
    <row r="76" spans="2:18" x14ac:dyDescent="0.3">
      <c r="B76" s="124"/>
    </row>
    <row r="77" spans="2:18" x14ac:dyDescent="0.3">
      <c r="B77" s="124"/>
    </row>
    <row r="78" spans="2:18" x14ac:dyDescent="0.3">
      <c r="B78" s="124"/>
    </row>
    <row r="79" spans="2:18" x14ac:dyDescent="0.3">
      <c r="B79" s="124"/>
    </row>
    <row r="80" spans="2:18" x14ac:dyDescent="0.3">
      <c r="B80" s="124"/>
    </row>
    <row r="81" spans="2:2" x14ac:dyDescent="0.3">
      <c r="B81" s="124"/>
    </row>
    <row r="82" spans="2:2" x14ac:dyDescent="0.3">
      <c r="B82" s="124"/>
    </row>
    <row r="83" spans="2:2" x14ac:dyDescent="0.3">
      <c r="B83" s="124"/>
    </row>
    <row r="84" spans="2:2" x14ac:dyDescent="0.3">
      <c r="B84" s="124"/>
    </row>
    <row r="85" spans="2:2" x14ac:dyDescent="0.3">
      <c r="B85" s="124"/>
    </row>
    <row r="86" spans="2:2" x14ac:dyDescent="0.3">
      <c r="B86" s="124"/>
    </row>
    <row r="87" spans="2:2" x14ac:dyDescent="0.3">
      <c r="B87" s="124"/>
    </row>
    <row r="88" spans="2:2" x14ac:dyDescent="0.3">
      <c r="B88" s="124"/>
    </row>
    <row r="89" spans="2:2" x14ac:dyDescent="0.3">
      <c r="B89" s="124"/>
    </row>
    <row r="90" spans="2:2" x14ac:dyDescent="0.3">
      <c r="B90" s="124"/>
    </row>
    <row r="91" spans="2:2" x14ac:dyDescent="0.3">
      <c r="B91" s="124"/>
    </row>
    <row r="92" spans="2:2" x14ac:dyDescent="0.3">
      <c r="B92" s="124"/>
    </row>
    <row r="93" spans="2:2" x14ac:dyDescent="0.3">
      <c r="B93" s="124"/>
    </row>
    <row r="94" spans="2:2" x14ac:dyDescent="0.3">
      <c r="B94" s="124"/>
    </row>
    <row r="95" spans="2:2" x14ac:dyDescent="0.3">
      <c r="B95" s="124"/>
    </row>
    <row r="96" spans="2:2" x14ac:dyDescent="0.3">
      <c r="B96" s="124"/>
    </row>
    <row r="97" spans="2:2" x14ac:dyDescent="0.3">
      <c r="B97" s="124"/>
    </row>
    <row r="98" spans="2:2" x14ac:dyDescent="0.3">
      <c r="B98" s="124"/>
    </row>
    <row r="99" spans="2:2" x14ac:dyDescent="0.3">
      <c r="B99" s="124"/>
    </row>
    <row r="100" spans="2:2" x14ac:dyDescent="0.3">
      <c r="B100" s="124"/>
    </row>
    <row r="101" spans="2:2" x14ac:dyDescent="0.3">
      <c r="B101" s="124"/>
    </row>
    <row r="102" spans="2:2" x14ac:dyDescent="0.3">
      <c r="B102" s="124"/>
    </row>
    <row r="103" spans="2:2" x14ac:dyDescent="0.3">
      <c r="B103" s="124"/>
    </row>
    <row r="104" spans="2:2" x14ac:dyDescent="0.3">
      <c r="B104" s="124"/>
    </row>
    <row r="105" spans="2:2" x14ac:dyDescent="0.3">
      <c r="B105" s="124"/>
    </row>
    <row r="106" spans="2:2" x14ac:dyDescent="0.3">
      <c r="B106" s="124"/>
    </row>
    <row r="107" spans="2:2" x14ac:dyDescent="0.3">
      <c r="B107" s="124"/>
    </row>
    <row r="108" spans="2:2" x14ac:dyDescent="0.3">
      <c r="B108" s="124"/>
    </row>
    <row r="109" spans="2:2" x14ac:dyDescent="0.3">
      <c r="B109" s="124"/>
    </row>
    <row r="110" spans="2:2" x14ac:dyDescent="0.3">
      <c r="B110" s="124"/>
    </row>
    <row r="111" spans="2:2" x14ac:dyDescent="0.3">
      <c r="B111" s="124"/>
    </row>
    <row r="112" spans="2:2" x14ac:dyDescent="0.3">
      <c r="B112" s="124"/>
    </row>
    <row r="113" spans="2:2" x14ac:dyDescent="0.3">
      <c r="B113" s="124"/>
    </row>
  </sheetData>
  <mergeCells count="3">
    <mergeCell ref="B4:D4"/>
    <mergeCell ref="F4:G4"/>
    <mergeCell ref="I4:J4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981D-BFDB-4790-8429-33E092A027F3}">
  <dimension ref="B2:T113"/>
  <sheetViews>
    <sheetView showGridLines="0" zoomScale="104" zoomScaleNormal="49" workbookViewId="0">
      <selection activeCell="B2" sqref="B2"/>
    </sheetView>
  </sheetViews>
  <sheetFormatPr defaultColWidth="8.88671875" defaultRowHeight="14.4" x14ac:dyDescent="0.3"/>
  <cols>
    <col min="1" max="1" width="1.88671875" style="124" customWidth="1"/>
    <col min="2" max="2" width="12.33203125" style="179" customWidth="1"/>
    <col min="3" max="3" width="14" style="124" customWidth="1"/>
    <col min="4" max="4" width="7.88671875" style="124" bestFit="1" customWidth="1"/>
    <col min="5" max="5" width="6.5546875" style="124" customWidth="1"/>
    <col min="6" max="6" width="11.5546875" style="124" bestFit="1" customWidth="1"/>
    <col min="7" max="7" width="7.88671875" style="124" bestFit="1" customWidth="1"/>
    <col min="8" max="8" width="6.6640625" style="124" customWidth="1"/>
    <col min="9" max="9" width="17.5546875" style="124" bestFit="1" customWidth="1"/>
    <col min="10" max="10" width="7" style="124" bestFit="1" customWidth="1"/>
    <col min="11" max="11" width="6.44140625" style="124" customWidth="1"/>
    <col min="12" max="12" width="17.44140625" style="124" bestFit="1" customWidth="1"/>
    <col min="13" max="13" width="12" style="124" bestFit="1" customWidth="1"/>
    <col min="14" max="14" width="13.44140625" style="124" bestFit="1" customWidth="1"/>
    <col min="15" max="15" width="12.6640625" style="124" bestFit="1" customWidth="1"/>
    <col min="16" max="16" width="12" style="124" bestFit="1" customWidth="1"/>
    <col min="17" max="17" width="12.6640625" style="124" bestFit="1" customWidth="1"/>
    <col min="18" max="18" width="12" style="124" bestFit="1" customWidth="1"/>
    <col min="19" max="19" width="9.5546875" style="124" bestFit="1" customWidth="1"/>
    <col min="20" max="16384" width="8.88671875" style="124"/>
  </cols>
  <sheetData>
    <row r="2" spans="2:20" x14ac:dyDescent="0.3">
      <c r="B2" s="201" t="s">
        <v>70</v>
      </c>
    </row>
    <row r="3" spans="2:20" x14ac:dyDescent="0.3">
      <c r="S3" s="185"/>
    </row>
    <row r="4" spans="2:20" x14ac:dyDescent="0.3">
      <c r="B4" s="267" t="s">
        <v>71</v>
      </c>
      <c r="C4" s="267"/>
      <c r="D4" s="267"/>
      <c r="F4" s="267" t="s">
        <v>32</v>
      </c>
      <c r="G4" s="267"/>
      <c r="I4" s="267" t="s">
        <v>33</v>
      </c>
      <c r="J4" s="267"/>
      <c r="S4" s="185"/>
    </row>
    <row r="5" spans="2:20" x14ac:dyDescent="0.3">
      <c r="B5" s="201"/>
      <c r="L5" s="124" t="s">
        <v>34</v>
      </c>
      <c r="M5" s="125">
        <f>SLOPE(D8:D67,G8:G67)</f>
        <v>-1.7078554359138747</v>
      </c>
      <c r="S5" s="185"/>
    </row>
    <row r="6" spans="2:20" x14ac:dyDescent="0.3">
      <c r="B6" s="200" t="s">
        <v>35</v>
      </c>
      <c r="C6" s="176" t="s">
        <v>36</v>
      </c>
      <c r="D6" s="176" t="s">
        <v>37</v>
      </c>
      <c r="F6" s="176" t="s">
        <v>36</v>
      </c>
      <c r="G6" s="176" t="s">
        <v>37</v>
      </c>
      <c r="I6" s="124" t="s">
        <v>38</v>
      </c>
      <c r="J6" s="125">
        <f>M7</f>
        <v>-1.7078554359138738</v>
      </c>
      <c r="L6" s="124" t="s">
        <v>39</v>
      </c>
      <c r="M6" s="125">
        <f>_xlfn.COVARIANCE.S(D7:D67,G7:G67)/_xlfn.VAR.S(G7:G67)</f>
        <v>-1.7078554359138747</v>
      </c>
      <c r="R6" s="124" t="s">
        <v>35</v>
      </c>
      <c r="S6" s="185" t="s">
        <v>72</v>
      </c>
    </row>
    <row r="7" spans="2:20" x14ac:dyDescent="0.3">
      <c r="B7" s="229">
        <v>45870</v>
      </c>
      <c r="C7" s="223">
        <v>534.79999999999995</v>
      </c>
      <c r="F7" s="193">
        <v>15582.8</v>
      </c>
      <c r="I7" s="124" t="s">
        <v>40</v>
      </c>
      <c r="J7" s="192">
        <v>0.75</v>
      </c>
      <c r="L7" s="124" t="s">
        <v>41</v>
      </c>
      <c r="M7" s="125">
        <f>M29</f>
        <v>-1.7078554359138738</v>
      </c>
    </row>
    <row r="8" spans="2:20" x14ac:dyDescent="0.3">
      <c r="B8" s="229">
        <v>45901</v>
      </c>
      <c r="C8" s="223">
        <v>599.65</v>
      </c>
      <c r="D8" s="172">
        <f>C8/C7-1</f>
        <v>0.12126028421839941</v>
      </c>
      <c r="F8" s="193">
        <v>15721.5</v>
      </c>
      <c r="G8" s="172">
        <f>F8/F7-1</f>
        <v>8.9008393870164682E-3</v>
      </c>
    </row>
    <row r="9" spans="2:20" x14ac:dyDescent="0.3">
      <c r="B9" s="229">
        <v>45931</v>
      </c>
      <c r="C9" s="223">
        <v>708</v>
      </c>
      <c r="D9" s="172">
        <f t="shared" ref="D9:D16" si="0">C9/C8-1</f>
        <v>0.18068873509547245</v>
      </c>
      <c r="F9" s="193">
        <v>15763.05</v>
      </c>
      <c r="G9" s="172">
        <f t="shared" ref="G9:G16" si="1">F9/F8-1</f>
        <v>2.6428775880162902E-3</v>
      </c>
      <c r="I9" s="124" t="s">
        <v>42</v>
      </c>
      <c r="J9" s="194">
        <v>1</v>
      </c>
    </row>
    <row r="10" spans="2:20" x14ac:dyDescent="0.3">
      <c r="B10" s="229">
        <v>45962</v>
      </c>
      <c r="C10" s="223">
        <v>558.1</v>
      </c>
      <c r="D10" s="172">
        <f t="shared" si="0"/>
        <v>-0.21172316384180789</v>
      </c>
      <c r="F10" s="193">
        <v>17132.2</v>
      </c>
      <c r="G10" s="172">
        <f t="shared" si="1"/>
        <v>8.6858190515160638E-2</v>
      </c>
      <c r="I10" s="124" t="s">
        <v>43</v>
      </c>
      <c r="J10" s="192">
        <v>0.25</v>
      </c>
    </row>
    <row r="11" spans="2:20" x14ac:dyDescent="0.3">
      <c r="B11" s="229">
        <v>45992</v>
      </c>
      <c r="C11" s="223">
        <v>470.75</v>
      </c>
      <c r="D11" s="172">
        <f t="shared" si="0"/>
        <v>-0.15651316968285256</v>
      </c>
      <c r="F11" s="193">
        <v>17618.150000000001</v>
      </c>
      <c r="G11" s="172">
        <f t="shared" si="1"/>
        <v>2.8364716732235173E-2</v>
      </c>
      <c r="L11"/>
      <c r="M11"/>
      <c r="N11"/>
      <c r="O11"/>
      <c r="P11"/>
      <c r="Q11"/>
    </row>
    <row r="12" spans="2:20" x14ac:dyDescent="0.3">
      <c r="B12" s="229">
        <v>46023</v>
      </c>
      <c r="C12" s="223">
        <v>440.1</v>
      </c>
      <c r="D12" s="172">
        <f t="shared" si="0"/>
        <v>-6.5108868826340927E-2</v>
      </c>
      <c r="F12" s="193">
        <v>17671.650000000001</v>
      </c>
      <c r="G12" s="172">
        <f t="shared" si="1"/>
        <v>3.0366411910445201E-3</v>
      </c>
      <c r="I12" s="127" t="s">
        <v>44</v>
      </c>
      <c r="J12" s="175">
        <f>(J6*J7)+(J9*J10)</f>
        <v>-1.0308915769354052</v>
      </c>
      <c r="K12"/>
      <c r="L12" t="s">
        <v>45</v>
      </c>
      <c r="M12"/>
      <c r="N12"/>
      <c r="O12"/>
      <c r="P12"/>
      <c r="Q12"/>
      <c r="R12"/>
      <c r="S12"/>
      <c r="T12"/>
    </row>
    <row r="13" spans="2:20" ht="15" thickBot="1" x14ac:dyDescent="0.35">
      <c r="B13" s="187">
        <v>46054</v>
      </c>
      <c r="C13" s="223">
        <v>437.45</v>
      </c>
      <c r="D13" s="172">
        <f t="shared" si="0"/>
        <v>-6.0213587820950876E-3</v>
      </c>
      <c r="F13" s="193">
        <v>16983.2</v>
      </c>
      <c r="G13" s="172">
        <f t="shared" si="1"/>
        <v>-3.8957878862471818E-2</v>
      </c>
      <c r="K13"/>
      <c r="L13"/>
      <c r="M13"/>
      <c r="N13"/>
      <c r="O13"/>
      <c r="P13"/>
      <c r="Q13"/>
      <c r="R13"/>
      <c r="S13"/>
      <c r="T13"/>
    </row>
    <row r="14" spans="2:20" x14ac:dyDescent="0.3">
      <c r="B14" s="187">
        <v>46082</v>
      </c>
      <c r="C14" s="223">
        <v>467.15</v>
      </c>
      <c r="D14" s="172">
        <f t="shared" si="0"/>
        <v>6.7893473539833105E-2</v>
      </c>
      <c r="F14" s="193">
        <v>17354.05</v>
      </c>
      <c r="G14" s="172">
        <f t="shared" si="1"/>
        <v>2.1836285270149247E-2</v>
      </c>
      <c r="K14"/>
      <c r="L14" s="226" t="s">
        <v>46</v>
      </c>
      <c r="M14" s="226"/>
      <c r="N14"/>
      <c r="O14"/>
      <c r="P14"/>
      <c r="Q14"/>
      <c r="R14"/>
      <c r="S14"/>
      <c r="T14"/>
    </row>
    <row r="15" spans="2:20" x14ac:dyDescent="0.3">
      <c r="B15" s="187">
        <v>46113</v>
      </c>
      <c r="C15" s="223">
        <v>427.55</v>
      </c>
      <c r="D15" s="172">
        <f t="shared" si="0"/>
        <v>-8.4769346034464288E-2</v>
      </c>
      <c r="F15" s="193">
        <v>17339.849999999999</v>
      </c>
      <c r="G15" s="172">
        <f t="shared" si="1"/>
        <v>-8.1825279977876253E-4</v>
      </c>
      <c r="K15"/>
      <c r="L15" t="s">
        <v>47</v>
      </c>
      <c r="M15">
        <v>0.49009433237807409</v>
      </c>
      <c r="N15"/>
      <c r="O15"/>
      <c r="P15"/>
      <c r="Q15"/>
      <c r="R15"/>
      <c r="S15"/>
      <c r="T15"/>
    </row>
    <row r="16" spans="2:20" x14ac:dyDescent="0.3">
      <c r="B16" s="187">
        <v>46118</v>
      </c>
      <c r="C16" s="223">
        <v>427.45</v>
      </c>
      <c r="D16" s="172">
        <f t="shared" si="0"/>
        <v>-2.3389077300906003E-4</v>
      </c>
      <c r="F16" s="193">
        <v>16793.900000000001</v>
      </c>
      <c r="G16" s="172">
        <f t="shared" si="1"/>
        <v>-3.1485278131010208E-2</v>
      </c>
      <c r="K16"/>
      <c r="L16" t="s">
        <v>48</v>
      </c>
      <c r="M16">
        <v>0.24019245462911018</v>
      </c>
      <c r="N16"/>
      <c r="O16"/>
      <c r="P16"/>
      <c r="Q16"/>
      <c r="R16"/>
      <c r="S16"/>
      <c r="T16"/>
    </row>
    <row r="17" spans="2:20" x14ac:dyDescent="0.3">
      <c r="B17" s="187"/>
      <c r="C17" s="223"/>
      <c r="D17" s="172"/>
      <c r="F17" s="193"/>
      <c r="G17" s="172"/>
      <c r="K17"/>
      <c r="L17" t="s">
        <v>49</v>
      </c>
      <c r="M17">
        <v>0.13164851957612592</v>
      </c>
      <c r="N17"/>
      <c r="O17"/>
      <c r="P17"/>
      <c r="Q17"/>
      <c r="R17"/>
      <c r="S17"/>
      <c r="T17"/>
    </row>
    <row r="18" spans="2:20" x14ac:dyDescent="0.3">
      <c r="B18" s="187"/>
      <c r="C18" s="223"/>
      <c r="D18" s="172"/>
      <c r="F18" s="193"/>
      <c r="G18" s="172"/>
      <c r="K18"/>
      <c r="L18" t="s">
        <v>50</v>
      </c>
      <c r="M18">
        <v>0.11883108976437708</v>
      </c>
      <c r="N18"/>
      <c r="O18"/>
      <c r="P18"/>
      <c r="Q18"/>
      <c r="R18"/>
      <c r="S18"/>
      <c r="T18"/>
    </row>
    <row r="19" spans="2:20" ht="15" thickBot="1" x14ac:dyDescent="0.35">
      <c r="B19" s="187"/>
      <c r="C19" s="223"/>
      <c r="D19" s="172"/>
      <c r="F19" s="193"/>
      <c r="G19" s="172"/>
      <c r="K19"/>
      <c r="L19" s="224" t="s">
        <v>51</v>
      </c>
      <c r="M19" s="224">
        <v>9</v>
      </c>
      <c r="N19"/>
      <c r="O19"/>
      <c r="P19"/>
      <c r="Q19"/>
      <c r="R19"/>
      <c r="S19"/>
      <c r="T19"/>
    </row>
    <row r="20" spans="2:20" x14ac:dyDescent="0.3">
      <c r="B20" s="187"/>
      <c r="C20" s="223"/>
      <c r="D20" s="172"/>
      <c r="F20" s="193"/>
      <c r="G20" s="172"/>
      <c r="K20"/>
      <c r="L20"/>
      <c r="M20"/>
      <c r="N20"/>
      <c r="O20"/>
      <c r="P20"/>
      <c r="Q20"/>
      <c r="R20"/>
      <c r="S20"/>
      <c r="T20"/>
    </row>
    <row r="21" spans="2:20" ht="15" thickBot="1" x14ac:dyDescent="0.35">
      <c r="B21" s="187"/>
      <c r="C21" s="223"/>
      <c r="D21" s="172"/>
      <c r="F21" s="193"/>
      <c r="G21" s="172"/>
      <c r="K21"/>
      <c r="L21" t="s">
        <v>52</v>
      </c>
      <c r="M21"/>
      <c r="N21"/>
      <c r="O21"/>
      <c r="P21"/>
      <c r="Q21"/>
      <c r="R21"/>
      <c r="S21"/>
      <c r="T21"/>
    </row>
    <row r="22" spans="2:20" x14ac:dyDescent="0.3">
      <c r="B22" s="187"/>
      <c r="C22" s="223"/>
      <c r="D22" s="172"/>
      <c r="F22" s="193"/>
      <c r="G22" s="172"/>
      <c r="K22"/>
      <c r="L22" s="225"/>
      <c r="M22" s="225" t="s">
        <v>53</v>
      </c>
      <c r="N22" s="225" t="s">
        <v>54</v>
      </c>
      <c r="O22" s="225" t="s">
        <v>55</v>
      </c>
      <c r="P22" s="225" t="s">
        <v>56</v>
      </c>
      <c r="Q22" s="225" t="s">
        <v>57</v>
      </c>
      <c r="R22"/>
      <c r="S22"/>
      <c r="T22"/>
    </row>
    <row r="23" spans="2:20" x14ac:dyDescent="0.3">
      <c r="B23" s="187"/>
      <c r="C23" s="223"/>
      <c r="D23" s="172"/>
      <c r="F23" s="193"/>
      <c r="G23" s="172"/>
      <c r="K23"/>
      <c r="L23" t="s">
        <v>58</v>
      </c>
      <c r="M23">
        <v>1</v>
      </c>
      <c r="N23">
        <v>3.124740513360813E-2</v>
      </c>
      <c r="O23">
        <v>3.124740513360813E-2</v>
      </c>
      <c r="P23">
        <v>2.2128592860749285</v>
      </c>
      <c r="Q23">
        <v>0.18046324496700983</v>
      </c>
      <c r="R23"/>
      <c r="S23"/>
      <c r="T23"/>
    </row>
    <row r="24" spans="2:20" x14ac:dyDescent="0.3">
      <c r="B24" s="187"/>
      <c r="C24" s="223"/>
      <c r="D24" s="172"/>
      <c r="F24" s="193"/>
      <c r="G24" s="172"/>
      <c r="K24"/>
      <c r="L24" t="s">
        <v>59</v>
      </c>
      <c r="M24">
        <v>7</v>
      </c>
      <c r="N24">
        <v>9.8845795262126085E-2</v>
      </c>
      <c r="O24">
        <v>1.4120827894589441E-2</v>
      </c>
      <c r="P24"/>
      <c r="Q24"/>
      <c r="R24"/>
      <c r="S24"/>
      <c r="T24"/>
    </row>
    <row r="25" spans="2:20" ht="15" thickBot="1" x14ac:dyDescent="0.35">
      <c r="B25" s="187"/>
      <c r="C25" s="223"/>
      <c r="D25" s="172"/>
      <c r="F25" s="193"/>
      <c r="G25" s="172"/>
      <c r="K25"/>
      <c r="L25" s="224" t="s">
        <v>60</v>
      </c>
      <c r="M25" s="224">
        <v>8</v>
      </c>
      <c r="N25" s="224">
        <v>0.13009320039573422</v>
      </c>
      <c r="O25" s="224"/>
      <c r="P25" s="224"/>
      <c r="Q25" s="224"/>
      <c r="R25"/>
      <c r="S25"/>
      <c r="T25"/>
    </row>
    <row r="26" spans="2:20" ht="15" thickBot="1" x14ac:dyDescent="0.35">
      <c r="B26" s="187"/>
      <c r="C26" s="223"/>
      <c r="D26" s="172"/>
      <c r="F26" s="193"/>
      <c r="G26" s="172"/>
      <c r="K26"/>
      <c r="L26"/>
      <c r="M26"/>
      <c r="N26"/>
      <c r="O26"/>
      <c r="P26"/>
      <c r="Q26"/>
      <c r="R26"/>
      <c r="S26"/>
      <c r="T26"/>
    </row>
    <row r="27" spans="2:20" x14ac:dyDescent="0.3">
      <c r="B27" s="187"/>
      <c r="C27" s="223"/>
      <c r="D27" s="172"/>
      <c r="F27" s="193"/>
      <c r="G27" s="172"/>
      <c r="K27"/>
      <c r="L27" s="225"/>
      <c r="M27" s="225" t="s">
        <v>61</v>
      </c>
      <c r="N27" s="225" t="s">
        <v>50</v>
      </c>
      <c r="O27" s="225" t="s">
        <v>62</v>
      </c>
      <c r="P27" s="225" t="s">
        <v>63</v>
      </c>
      <c r="Q27" s="225" t="s">
        <v>64</v>
      </c>
      <c r="R27" s="225" t="s">
        <v>65</v>
      </c>
      <c r="S27" s="225" t="s">
        <v>66</v>
      </c>
      <c r="T27" s="225" t="s">
        <v>67</v>
      </c>
    </row>
    <row r="28" spans="2:20" x14ac:dyDescent="0.3">
      <c r="B28" s="187"/>
      <c r="C28" s="223"/>
      <c r="D28" s="172"/>
      <c r="F28" s="193"/>
      <c r="G28" s="172"/>
      <c r="K28"/>
      <c r="L28" t="s">
        <v>68</v>
      </c>
      <c r="M28">
        <v>-1.9170066931788517E-3</v>
      </c>
      <c r="N28">
        <v>4.0915937459596464E-2</v>
      </c>
      <c r="O28">
        <v>-4.6852322400576824E-2</v>
      </c>
      <c r="P28">
        <v>0.96393958970835003</v>
      </c>
      <c r="Q28">
        <v>-9.8667824686794331E-2</v>
      </c>
      <c r="R28">
        <v>9.4833811300436638E-2</v>
      </c>
      <c r="S28">
        <v>-9.8667824686794331E-2</v>
      </c>
      <c r="T28">
        <v>9.4833811300436638E-2</v>
      </c>
    </row>
    <row r="29" spans="2:20" ht="15" thickBot="1" x14ac:dyDescent="0.35">
      <c r="B29" s="187"/>
      <c r="C29" s="223"/>
      <c r="D29" s="172"/>
      <c r="F29" s="193"/>
      <c r="G29" s="172"/>
      <c r="K29"/>
      <c r="L29" s="224" t="s">
        <v>69</v>
      </c>
      <c r="M29" s="224">
        <v>-1.7078554359138738</v>
      </c>
      <c r="N29" s="224">
        <v>1.1480854345157947</v>
      </c>
      <c r="O29" s="224">
        <v>-1.4875682458545971</v>
      </c>
      <c r="P29" s="224">
        <v>0.18046324496701022</v>
      </c>
      <c r="Q29" s="224">
        <v>-4.4226460972703627</v>
      </c>
      <c r="R29" s="224">
        <v>1.0069352254426147</v>
      </c>
      <c r="S29" s="224">
        <v>-4.4226460972703627</v>
      </c>
      <c r="T29" s="224">
        <v>1.0069352254426147</v>
      </c>
    </row>
    <row r="30" spans="2:20" x14ac:dyDescent="0.3">
      <c r="B30" s="187"/>
      <c r="C30" s="223"/>
      <c r="D30" s="172"/>
      <c r="F30" s="193"/>
      <c r="G30" s="172"/>
      <c r="K30"/>
      <c r="L30"/>
      <c r="M30"/>
      <c r="N30"/>
      <c r="O30"/>
      <c r="P30"/>
      <c r="Q30"/>
      <c r="R30"/>
      <c r="S30"/>
      <c r="T30"/>
    </row>
    <row r="31" spans="2:20" x14ac:dyDescent="0.3">
      <c r="B31" s="187"/>
      <c r="C31" s="223"/>
      <c r="D31" s="172"/>
      <c r="F31" s="193"/>
      <c r="G31" s="172"/>
      <c r="K31"/>
      <c r="L31"/>
      <c r="M31"/>
      <c r="N31"/>
      <c r="O31"/>
      <c r="P31"/>
      <c r="Q31"/>
      <c r="R31"/>
      <c r="S31"/>
      <c r="T31"/>
    </row>
    <row r="32" spans="2:20" x14ac:dyDescent="0.3">
      <c r="B32" s="187"/>
      <c r="C32" s="223"/>
      <c r="D32" s="172"/>
      <c r="F32" s="193"/>
      <c r="G32" s="172"/>
      <c r="K32"/>
      <c r="L32"/>
      <c r="M32"/>
      <c r="N32"/>
      <c r="O32"/>
      <c r="P32"/>
      <c r="Q32"/>
      <c r="R32"/>
      <c r="S32"/>
      <c r="T32"/>
    </row>
    <row r="33" spans="2:19" x14ac:dyDescent="0.3">
      <c r="B33" s="187"/>
      <c r="C33" s="223"/>
      <c r="D33" s="172"/>
      <c r="F33" s="193"/>
      <c r="G33" s="172"/>
      <c r="K33"/>
      <c r="L33"/>
      <c r="M33"/>
      <c r="N33"/>
      <c r="O33"/>
      <c r="P33"/>
      <c r="Q33"/>
      <c r="R33"/>
      <c r="S33"/>
    </row>
    <row r="34" spans="2:19" x14ac:dyDescent="0.3">
      <c r="B34" s="187"/>
      <c r="C34" s="223"/>
      <c r="D34" s="172"/>
      <c r="F34" s="193"/>
      <c r="G34" s="172"/>
      <c r="S34" s="185"/>
    </row>
    <row r="35" spans="2:19" x14ac:dyDescent="0.3">
      <c r="B35" s="187"/>
      <c r="C35" s="223"/>
      <c r="D35" s="172"/>
      <c r="F35" s="193"/>
      <c r="G35" s="172"/>
      <c r="S35" s="185"/>
    </row>
    <row r="36" spans="2:19" x14ac:dyDescent="0.3">
      <c r="B36" s="187"/>
      <c r="C36" s="223"/>
      <c r="D36" s="172"/>
      <c r="F36" s="193"/>
      <c r="G36" s="172"/>
      <c r="S36" s="185"/>
    </row>
    <row r="37" spans="2:19" x14ac:dyDescent="0.3">
      <c r="B37" s="187"/>
      <c r="C37" s="223"/>
      <c r="D37" s="172"/>
      <c r="F37" s="193"/>
      <c r="G37" s="172"/>
      <c r="S37" s="185"/>
    </row>
    <row r="38" spans="2:19" x14ac:dyDescent="0.3">
      <c r="B38" s="187"/>
      <c r="C38" s="223"/>
      <c r="D38" s="172"/>
      <c r="F38" s="193"/>
      <c r="G38" s="172"/>
      <c r="S38" s="185"/>
    </row>
    <row r="39" spans="2:19" x14ac:dyDescent="0.3">
      <c r="B39" s="187"/>
      <c r="C39" s="223"/>
      <c r="D39" s="172"/>
      <c r="F39" s="193"/>
      <c r="G39" s="172"/>
      <c r="S39" s="185"/>
    </row>
    <row r="40" spans="2:19" x14ac:dyDescent="0.3">
      <c r="B40" s="187"/>
      <c r="C40" s="223"/>
      <c r="D40" s="172"/>
      <c r="F40" s="193"/>
      <c r="G40" s="172"/>
      <c r="S40" s="185"/>
    </row>
    <row r="41" spans="2:19" x14ac:dyDescent="0.3">
      <c r="B41" s="187"/>
      <c r="C41" s="223"/>
      <c r="D41" s="172"/>
      <c r="F41" s="193"/>
      <c r="G41" s="172"/>
      <c r="S41" s="185"/>
    </row>
    <row r="42" spans="2:19" x14ac:dyDescent="0.3">
      <c r="B42" s="187"/>
      <c r="C42" s="223"/>
      <c r="D42" s="172"/>
      <c r="F42" s="193"/>
      <c r="G42" s="172"/>
      <c r="S42" s="185"/>
    </row>
    <row r="43" spans="2:19" x14ac:dyDescent="0.3">
      <c r="B43" s="187"/>
      <c r="C43" s="223"/>
      <c r="D43" s="172"/>
      <c r="F43" s="193"/>
      <c r="G43" s="172"/>
      <c r="S43" s="185"/>
    </row>
    <row r="44" spans="2:19" x14ac:dyDescent="0.3">
      <c r="B44" s="187"/>
      <c r="C44" s="223"/>
      <c r="D44" s="172"/>
      <c r="F44" s="193"/>
      <c r="G44" s="172"/>
      <c r="S44" s="185"/>
    </row>
    <row r="45" spans="2:19" x14ac:dyDescent="0.3">
      <c r="B45" s="187"/>
      <c r="C45" s="223"/>
      <c r="D45" s="172"/>
      <c r="F45" s="193"/>
      <c r="G45" s="172"/>
      <c r="S45" s="185"/>
    </row>
    <row r="46" spans="2:19" x14ac:dyDescent="0.3">
      <c r="B46" s="187"/>
      <c r="C46" s="223"/>
      <c r="D46" s="172"/>
      <c r="F46" s="193"/>
      <c r="G46" s="172"/>
      <c r="S46" s="185"/>
    </row>
    <row r="47" spans="2:19" x14ac:dyDescent="0.3">
      <c r="B47" s="187"/>
      <c r="C47" s="223"/>
      <c r="D47" s="172"/>
      <c r="F47" s="193"/>
      <c r="G47" s="172"/>
      <c r="S47" s="185"/>
    </row>
    <row r="48" spans="2:19" x14ac:dyDescent="0.3">
      <c r="B48" s="187"/>
      <c r="C48" s="223"/>
      <c r="D48" s="172"/>
      <c r="F48" s="193"/>
      <c r="G48" s="172"/>
      <c r="S48" s="185"/>
    </row>
    <row r="49" spans="2:19" x14ac:dyDescent="0.3">
      <c r="B49" s="187"/>
      <c r="C49" s="223"/>
      <c r="D49" s="172"/>
      <c r="F49" s="193"/>
      <c r="G49" s="172"/>
      <c r="S49" s="185"/>
    </row>
    <row r="50" spans="2:19" x14ac:dyDescent="0.3">
      <c r="B50" s="187"/>
      <c r="C50" s="223"/>
      <c r="D50" s="172"/>
      <c r="F50" s="193"/>
      <c r="G50" s="172"/>
      <c r="S50" s="185"/>
    </row>
    <row r="51" spans="2:19" x14ac:dyDescent="0.3">
      <c r="B51" s="187"/>
      <c r="C51" s="223"/>
      <c r="D51" s="172"/>
      <c r="F51" s="193"/>
      <c r="G51" s="172"/>
      <c r="S51" s="185"/>
    </row>
    <row r="52" spans="2:19" x14ac:dyDescent="0.3">
      <c r="B52" s="187"/>
      <c r="C52" s="223"/>
      <c r="D52" s="172"/>
      <c r="F52" s="193"/>
      <c r="G52" s="172"/>
      <c r="S52" s="185"/>
    </row>
    <row r="53" spans="2:19" x14ac:dyDescent="0.3">
      <c r="B53" s="187"/>
      <c r="C53" s="223"/>
      <c r="D53" s="172"/>
      <c r="F53" s="193"/>
      <c r="G53" s="172"/>
      <c r="S53" s="185"/>
    </row>
    <row r="54" spans="2:19" x14ac:dyDescent="0.3">
      <c r="B54" s="187"/>
      <c r="C54" s="223"/>
      <c r="D54" s="172"/>
      <c r="F54" s="193"/>
      <c r="G54" s="172"/>
      <c r="S54" s="185"/>
    </row>
    <row r="55" spans="2:19" x14ac:dyDescent="0.3">
      <c r="B55" s="187"/>
      <c r="C55" s="223"/>
      <c r="D55" s="172"/>
      <c r="F55" s="193"/>
      <c r="G55" s="172"/>
      <c r="S55" s="185"/>
    </row>
    <row r="56" spans="2:19" x14ac:dyDescent="0.3">
      <c r="B56" s="187"/>
      <c r="C56" s="223"/>
      <c r="D56" s="172"/>
      <c r="F56" s="193"/>
      <c r="G56" s="172"/>
      <c r="S56" s="185"/>
    </row>
    <row r="57" spans="2:19" x14ac:dyDescent="0.3">
      <c r="B57" s="187"/>
      <c r="C57" s="223"/>
      <c r="D57" s="172"/>
      <c r="F57" s="193"/>
      <c r="G57" s="172"/>
      <c r="S57" s="185"/>
    </row>
    <row r="58" spans="2:19" x14ac:dyDescent="0.3">
      <c r="B58" s="187"/>
      <c r="C58" s="223"/>
      <c r="D58" s="172"/>
      <c r="F58" s="193"/>
      <c r="G58" s="172"/>
      <c r="S58" s="185"/>
    </row>
    <row r="59" spans="2:19" x14ac:dyDescent="0.3">
      <c r="B59" s="187"/>
      <c r="C59" s="223"/>
      <c r="D59" s="172"/>
      <c r="F59" s="193"/>
      <c r="G59" s="172"/>
      <c r="S59" s="185"/>
    </row>
    <row r="60" spans="2:19" x14ac:dyDescent="0.3">
      <c r="B60" s="187"/>
      <c r="C60" s="223"/>
      <c r="D60" s="172"/>
      <c r="F60" s="193"/>
      <c r="G60" s="172"/>
      <c r="S60" s="185"/>
    </row>
    <row r="61" spans="2:19" x14ac:dyDescent="0.3">
      <c r="B61" s="187"/>
      <c r="C61" s="223"/>
      <c r="D61" s="172"/>
      <c r="F61" s="193"/>
      <c r="G61" s="172"/>
      <c r="S61" s="185"/>
    </row>
    <row r="62" spans="2:19" x14ac:dyDescent="0.3">
      <c r="B62" s="187"/>
      <c r="C62" s="223"/>
      <c r="D62" s="172"/>
      <c r="F62" s="193"/>
      <c r="G62" s="172"/>
      <c r="S62" s="185"/>
    </row>
    <row r="63" spans="2:19" x14ac:dyDescent="0.3">
      <c r="B63" s="187"/>
      <c r="C63" s="223"/>
      <c r="D63" s="172"/>
      <c r="F63" s="193"/>
      <c r="G63" s="172"/>
      <c r="S63" s="185"/>
    </row>
    <row r="64" spans="2:19" x14ac:dyDescent="0.3">
      <c r="B64" s="187"/>
      <c r="C64" s="223"/>
      <c r="D64" s="172"/>
      <c r="F64" s="193"/>
      <c r="G64" s="172"/>
    </row>
    <row r="65" spans="2:18" x14ac:dyDescent="0.3">
      <c r="B65" s="187"/>
      <c r="C65" s="223"/>
      <c r="D65" s="172"/>
      <c r="F65" s="193"/>
      <c r="G65" s="172"/>
    </row>
    <row r="66" spans="2:18" x14ac:dyDescent="0.3">
      <c r="B66" s="187"/>
      <c r="C66" s="223"/>
      <c r="D66" s="172"/>
      <c r="F66" s="193"/>
      <c r="G66" s="172"/>
    </row>
    <row r="67" spans="2:18" x14ac:dyDescent="0.3">
      <c r="B67" s="187"/>
      <c r="C67" s="223"/>
      <c r="D67" s="172"/>
      <c r="F67" s="193"/>
      <c r="G67" s="172"/>
    </row>
    <row r="68" spans="2:18" x14ac:dyDescent="0.3">
      <c r="B68" s="124"/>
      <c r="Q68" s="187"/>
      <c r="R68" s="185"/>
    </row>
    <row r="69" spans="2:18" x14ac:dyDescent="0.3">
      <c r="B69" s="124"/>
      <c r="Q69" s="187"/>
      <c r="R69" s="185"/>
    </row>
    <row r="70" spans="2:18" x14ac:dyDescent="0.3">
      <c r="B70" s="124"/>
    </row>
    <row r="71" spans="2:18" x14ac:dyDescent="0.3">
      <c r="B71" s="124"/>
    </row>
    <row r="72" spans="2:18" x14ac:dyDescent="0.3">
      <c r="B72" s="124"/>
    </row>
    <row r="73" spans="2:18" x14ac:dyDescent="0.3">
      <c r="B73" s="124"/>
    </row>
    <row r="74" spans="2:18" x14ac:dyDescent="0.3">
      <c r="B74" s="124"/>
    </row>
    <row r="75" spans="2:18" x14ac:dyDescent="0.3">
      <c r="B75" s="124"/>
    </row>
    <row r="76" spans="2:18" x14ac:dyDescent="0.3">
      <c r="B76" s="124"/>
    </row>
    <row r="77" spans="2:18" x14ac:dyDescent="0.3">
      <c r="B77" s="124"/>
    </row>
    <row r="78" spans="2:18" x14ac:dyDescent="0.3">
      <c r="B78" s="124"/>
    </row>
    <row r="79" spans="2:18" x14ac:dyDescent="0.3">
      <c r="B79" s="124"/>
    </row>
    <row r="80" spans="2:18" x14ac:dyDescent="0.3">
      <c r="B80" s="124"/>
    </row>
    <row r="81" spans="2:2" x14ac:dyDescent="0.3">
      <c r="B81" s="124"/>
    </row>
    <row r="82" spans="2:2" x14ac:dyDescent="0.3">
      <c r="B82" s="124"/>
    </row>
    <row r="83" spans="2:2" x14ac:dyDescent="0.3">
      <c r="B83" s="124"/>
    </row>
    <row r="84" spans="2:2" x14ac:dyDescent="0.3">
      <c r="B84" s="124"/>
    </row>
    <row r="85" spans="2:2" x14ac:dyDescent="0.3">
      <c r="B85" s="124"/>
    </row>
    <row r="86" spans="2:2" x14ac:dyDescent="0.3">
      <c r="B86" s="124"/>
    </row>
    <row r="87" spans="2:2" x14ac:dyDescent="0.3">
      <c r="B87" s="124"/>
    </row>
    <row r="88" spans="2:2" x14ac:dyDescent="0.3">
      <c r="B88" s="124"/>
    </row>
    <row r="89" spans="2:2" x14ac:dyDescent="0.3">
      <c r="B89" s="124"/>
    </row>
    <row r="90" spans="2:2" x14ac:dyDescent="0.3">
      <c r="B90" s="124"/>
    </row>
    <row r="91" spans="2:2" x14ac:dyDescent="0.3">
      <c r="B91" s="124"/>
    </row>
    <row r="92" spans="2:2" x14ac:dyDescent="0.3">
      <c r="B92" s="124"/>
    </row>
    <row r="93" spans="2:2" x14ac:dyDescent="0.3">
      <c r="B93" s="124"/>
    </row>
    <row r="94" spans="2:2" x14ac:dyDescent="0.3">
      <c r="B94" s="124"/>
    </row>
    <row r="95" spans="2:2" x14ac:dyDescent="0.3">
      <c r="B95" s="124"/>
    </row>
    <row r="96" spans="2:2" x14ac:dyDescent="0.3">
      <c r="B96" s="124"/>
    </row>
    <row r="97" spans="2:2" x14ac:dyDescent="0.3">
      <c r="B97" s="124"/>
    </row>
    <row r="98" spans="2:2" x14ac:dyDescent="0.3">
      <c r="B98" s="124"/>
    </row>
    <row r="99" spans="2:2" x14ac:dyDescent="0.3">
      <c r="B99" s="124"/>
    </row>
    <row r="100" spans="2:2" x14ac:dyDescent="0.3">
      <c r="B100" s="124"/>
    </row>
    <row r="101" spans="2:2" x14ac:dyDescent="0.3">
      <c r="B101" s="124"/>
    </row>
    <row r="102" spans="2:2" x14ac:dyDescent="0.3">
      <c r="B102" s="124"/>
    </row>
    <row r="103" spans="2:2" x14ac:dyDescent="0.3">
      <c r="B103" s="124"/>
    </row>
    <row r="104" spans="2:2" x14ac:dyDescent="0.3">
      <c r="B104" s="124"/>
    </row>
    <row r="105" spans="2:2" x14ac:dyDescent="0.3">
      <c r="B105" s="124"/>
    </row>
    <row r="106" spans="2:2" x14ac:dyDescent="0.3">
      <c r="B106" s="124"/>
    </row>
    <row r="107" spans="2:2" x14ac:dyDescent="0.3">
      <c r="B107" s="124"/>
    </row>
    <row r="108" spans="2:2" x14ac:dyDescent="0.3">
      <c r="B108" s="124"/>
    </row>
    <row r="109" spans="2:2" x14ac:dyDescent="0.3">
      <c r="B109" s="124"/>
    </row>
    <row r="110" spans="2:2" x14ac:dyDescent="0.3">
      <c r="B110" s="124"/>
    </row>
    <row r="111" spans="2:2" x14ac:dyDescent="0.3">
      <c r="B111" s="124"/>
    </row>
    <row r="112" spans="2:2" x14ac:dyDescent="0.3">
      <c r="B112" s="124"/>
    </row>
    <row r="113" spans="2:2" x14ac:dyDescent="0.3">
      <c r="B113" s="124"/>
    </row>
  </sheetData>
  <autoFilter ref="R6:S16" xr:uid="{4D05981D-BFDB-4790-8429-33E092A027F3}">
    <sortState xmlns:xlrd2="http://schemas.microsoft.com/office/spreadsheetml/2017/richdata2" ref="R7:S16">
      <sortCondition ref="R6:R16"/>
    </sortState>
  </autoFilter>
  <mergeCells count="3">
    <mergeCell ref="B4:D4"/>
    <mergeCell ref="F4:G4"/>
    <mergeCell ref="I4:J4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E5A4-BE96-4369-B848-9F64A6DF0A19}">
  <dimension ref="B2:V116"/>
  <sheetViews>
    <sheetView showGridLines="0" workbookViewId="0">
      <selection activeCell="M7" sqref="M7"/>
    </sheetView>
  </sheetViews>
  <sheetFormatPr defaultColWidth="8.88671875" defaultRowHeight="14.4" x14ac:dyDescent="0.3"/>
  <cols>
    <col min="1" max="1" width="1.88671875" style="124" customWidth="1"/>
    <col min="2" max="2" width="28.6640625" style="179" bestFit="1" customWidth="1"/>
    <col min="3" max="3" width="12" style="124" bestFit="1" customWidth="1"/>
    <col min="4" max="4" width="7.6640625" style="124" bestFit="1" customWidth="1"/>
    <col min="5" max="5" width="8.88671875" style="124"/>
    <col min="6" max="6" width="11.5546875" style="124" bestFit="1" customWidth="1"/>
    <col min="7" max="7" width="6.6640625" style="124" bestFit="1" customWidth="1"/>
    <col min="8" max="8" width="8.88671875" style="124"/>
    <col min="9" max="9" width="17.5546875" style="124" bestFit="1" customWidth="1"/>
    <col min="10" max="10" width="7" style="124" bestFit="1" customWidth="1"/>
    <col min="11" max="11" width="7" customWidth="1"/>
    <col min="12" max="12" width="8.88671875" style="124"/>
    <col min="13" max="13" width="17.44140625" style="124" bestFit="1" customWidth="1"/>
    <col min="14" max="14" width="12" style="124" bestFit="1" customWidth="1"/>
    <col min="15" max="15" width="13.44140625" style="124" bestFit="1" customWidth="1"/>
    <col min="16" max="17" width="12" style="124" bestFit="1" customWidth="1"/>
    <col min="18" max="18" width="12.6640625" style="124" bestFit="1" customWidth="1"/>
    <col min="19" max="19" width="12" style="124" bestFit="1" customWidth="1"/>
    <col min="20" max="20" width="12.6640625" style="124" bestFit="1" customWidth="1"/>
    <col min="21" max="21" width="12.109375" style="124" bestFit="1" customWidth="1"/>
    <col min="22" max="16384" width="8.88671875" style="124"/>
  </cols>
  <sheetData>
    <row r="2" spans="2:21" x14ac:dyDescent="0.3">
      <c r="B2" s="201" t="s">
        <v>30</v>
      </c>
    </row>
    <row r="4" spans="2:21" x14ac:dyDescent="0.3">
      <c r="B4" s="267" t="s">
        <v>73</v>
      </c>
      <c r="C4" s="267"/>
      <c r="D4" s="267"/>
      <c r="F4" s="267" t="s">
        <v>32</v>
      </c>
      <c r="G4" s="267"/>
      <c r="I4" s="267" t="s">
        <v>33</v>
      </c>
      <c r="J4" s="267"/>
    </row>
    <row r="5" spans="2:21" x14ac:dyDescent="0.3">
      <c r="L5" s="124" t="s">
        <v>34</v>
      </c>
      <c r="M5" s="125">
        <f>SLOPE(D8:D64,G8:G64)</f>
        <v>5.7413536496867423E-2</v>
      </c>
    </row>
    <row r="6" spans="2:21" x14ac:dyDescent="0.3">
      <c r="B6" s="200" t="s">
        <v>35</v>
      </c>
      <c r="C6" s="176" t="s">
        <v>74</v>
      </c>
      <c r="D6" s="176" t="s">
        <v>75</v>
      </c>
      <c r="F6" s="176" t="s">
        <v>36</v>
      </c>
      <c r="G6" s="176" t="s">
        <v>37</v>
      </c>
      <c r="I6" s="124" t="s">
        <v>38</v>
      </c>
      <c r="J6" s="125">
        <f>M7</f>
        <v>5.7413536496867361E-2</v>
      </c>
      <c r="L6" s="124" t="s">
        <v>39</v>
      </c>
      <c r="M6" s="125">
        <f>_xlfn.COVARIANCE.S(D7:D64,G7:G64)/_xlfn.VAR.S(G7:G64)</f>
        <v>5.7413536496867437E-2</v>
      </c>
    </row>
    <row r="7" spans="2:21" x14ac:dyDescent="0.3">
      <c r="B7" s="174">
        <v>44317</v>
      </c>
      <c r="C7" s="227">
        <v>66.260000000000005</v>
      </c>
      <c r="F7" s="193">
        <v>15582.8</v>
      </c>
      <c r="I7" s="124" t="s">
        <v>40</v>
      </c>
      <c r="J7" s="192">
        <v>0.75</v>
      </c>
      <c r="L7" s="124" t="s">
        <v>41</v>
      </c>
      <c r="M7" s="125">
        <f>M27</f>
        <v>5.7413536496867361E-2</v>
      </c>
    </row>
    <row r="8" spans="2:21" x14ac:dyDescent="0.3">
      <c r="B8" s="174">
        <v>44348</v>
      </c>
      <c r="C8" s="227">
        <v>77.62</v>
      </c>
      <c r="D8" s="172">
        <f>C8/C7-1</f>
        <v>0.17144581949894344</v>
      </c>
      <c r="F8" s="193">
        <v>15721.5</v>
      </c>
      <c r="G8" s="172">
        <f>F8/F7-1</f>
        <v>8.9008393870164682E-3</v>
      </c>
    </row>
    <row r="9" spans="2:21" x14ac:dyDescent="0.3">
      <c r="B9" s="174">
        <v>44378</v>
      </c>
      <c r="C9" s="227">
        <v>70.38</v>
      </c>
      <c r="D9" s="172">
        <f t="shared" ref="D9:D39" si="0">C9/C8-1</f>
        <v>-9.3274929141973884E-2</v>
      </c>
      <c r="F9" s="193">
        <v>15763.05</v>
      </c>
      <c r="G9" s="172">
        <f t="shared" ref="G9:G64" si="1">F9/F8-1</f>
        <v>2.6428775880162902E-3</v>
      </c>
      <c r="I9" s="124" t="s">
        <v>42</v>
      </c>
      <c r="J9" s="194">
        <v>1</v>
      </c>
    </row>
    <row r="10" spans="2:21" x14ac:dyDescent="0.3">
      <c r="B10" s="174">
        <v>44409</v>
      </c>
      <c r="C10" s="227">
        <v>66.56</v>
      </c>
      <c r="D10" s="172">
        <f t="shared" si="0"/>
        <v>-5.4276783177038879E-2</v>
      </c>
      <c r="F10" s="193">
        <v>17132.2</v>
      </c>
      <c r="G10" s="172">
        <f t="shared" si="1"/>
        <v>8.6858190515160638E-2</v>
      </c>
      <c r="I10" s="124" t="s">
        <v>43</v>
      </c>
      <c r="J10" s="192">
        <v>0.25</v>
      </c>
      <c r="L10" t="s">
        <v>45</v>
      </c>
      <c r="M10"/>
      <c r="N10"/>
      <c r="O10"/>
      <c r="P10"/>
      <c r="Q10"/>
      <c r="R10"/>
      <c r="S10"/>
      <c r="T10"/>
      <c r="U10"/>
    </row>
    <row r="11" spans="2:21" ht="15" thickBot="1" x14ac:dyDescent="0.35">
      <c r="B11" s="174">
        <v>44440</v>
      </c>
      <c r="C11" s="227">
        <v>72.31</v>
      </c>
      <c r="D11" s="172">
        <f t="shared" si="0"/>
        <v>8.6388221153846256E-2</v>
      </c>
      <c r="F11" s="193">
        <v>17618.150000000001</v>
      </c>
      <c r="G11" s="172">
        <f t="shared" si="1"/>
        <v>2.8364716732235173E-2</v>
      </c>
      <c r="L11"/>
      <c r="M11"/>
      <c r="N11"/>
      <c r="O11"/>
      <c r="P11"/>
      <c r="Q11"/>
      <c r="R11"/>
      <c r="S11"/>
      <c r="T11"/>
      <c r="U11"/>
    </row>
    <row r="12" spans="2:21" x14ac:dyDescent="0.3">
      <c r="B12" s="174">
        <v>44470</v>
      </c>
      <c r="C12" s="227">
        <v>75.63</v>
      </c>
      <c r="D12" s="172">
        <f t="shared" si="0"/>
        <v>4.5913428294841463E-2</v>
      </c>
      <c r="F12" s="193">
        <v>17671.650000000001</v>
      </c>
      <c r="G12" s="172">
        <f t="shared" si="1"/>
        <v>3.0366411910445201E-3</v>
      </c>
      <c r="I12" s="127" t="s">
        <v>44</v>
      </c>
      <c r="J12" s="175">
        <f>(J6*J7)+(J9*J10)</f>
        <v>0.29306015237265054</v>
      </c>
      <c r="L12" s="226" t="s">
        <v>46</v>
      </c>
      <c r="M12" s="226"/>
      <c r="N12"/>
      <c r="O12"/>
      <c r="P12"/>
      <c r="Q12"/>
      <c r="R12"/>
      <c r="S12"/>
      <c r="T12"/>
      <c r="U12"/>
    </row>
    <row r="13" spans="2:21" x14ac:dyDescent="0.3">
      <c r="B13" s="174">
        <v>44501</v>
      </c>
      <c r="C13" s="227">
        <v>66.510000000000005</v>
      </c>
      <c r="D13" s="172">
        <f t="shared" si="0"/>
        <v>-0.12058706862356194</v>
      </c>
      <c r="F13" s="193">
        <v>16983.2</v>
      </c>
      <c r="G13" s="172">
        <f t="shared" si="1"/>
        <v>-3.8957878862471818E-2</v>
      </c>
      <c r="L13" t="s">
        <v>47</v>
      </c>
      <c r="M13">
        <v>1.4804426614377884E-2</v>
      </c>
      <c r="N13"/>
      <c r="O13"/>
      <c r="P13"/>
      <c r="Q13"/>
      <c r="R13"/>
      <c r="S13"/>
      <c r="T13"/>
      <c r="U13"/>
    </row>
    <row r="14" spans="2:21" x14ac:dyDescent="0.3">
      <c r="B14" s="174">
        <v>44531</v>
      </c>
      <c r="C14" s="227">
        <v>67.900000000000006</v>
      </c>
      <c r="D14" s="172">
        <f t="shared" si="0"/>
        <v>2.089911291535107E-2</v>
      </c>
      <c r="F14" s="193">
        <v>17354.05</v>
      </c>
      <c r="G14" s="172">
        <f t="shared" si="1"/>
        <v>2.1836285270149247E-2</v>
      </c>
      <c r="L14" t="s">
        <v>48</v>
      </c>
      <c r="M14">
        <v>2.191710473805002E-4</v>
      </c>
      <c r="N14"/>
      <c r="O14"/>
      <c r="P14"/>
      <c r="Q14"/>
      <c r="R14"/>
      <c r="S14"/>
      <c r="T14"/>
      <c r="U14"/>
    </row>
    <row r="15" spans="2:21" x14ac:dyDescent="0.3">
      <c r="B15" s="174">
        <v>44562</v>
      </c>
      <c r="C15" s="227">
        <v>66.010000000000005</v>
      </c>
      <c r="D15" s="172">
        <f t="shared" si="0"/>
        <v>-2.7835051546391765E-2</v>
      </c>
      <c r="F15" s="193">
        <v>17339.849999999999</v>
      </c>
      <c r="G15" s="172">
        <f t="shared" si="1"/>
        <v>-8.1825279977876253E-4</v>
      </c>
      <c r="L15" t="s">
        <v>49</v>
      </c>
      <c r="M15">
        <v>-1.7958662206303492E-2</v>
      </c>
      <c r="N15"/>
      <c r="O15"/>
      <c r="P15"/>
      <c r="Q15"/>
      <c r="R15"/>
      <c r="S15"/>
      <c r="T15"/>
      <c r="U15"/>
    </row>
    <row r="16" spans="2:21" x14ac:dyDescent="0.3">
      <c r="B16" s="174">
        <v>44593</v>
      </c>
      <c r="C16" s="227">
        <v>58.47</v>
      </c>
      <c r="D16" s="172">
        <f t="shared" si="0"/>
        <v>-0.11422511740645369</v>
      </c>
      <c r="F16" s="193">
        <v>16793.900000000001</v>
      </c>
      <c r="G16" s="172">
        <f t="shared" si="1"/>
        <v>-3.1485278131010208E-2</v>
      </c>
      <c r="L16" t="s">
        <v>50</v>
      </c>
      <c r="M16">
        <v>0.13884885826849064</v>
      </c>
      <c r="N16"/>
      <c r="O16"/>
      <c r="P16"/>
      <c r="Q16"/>
      <c r="R16"/>
      <c r="S16"/>
      <c r="T16"/>
      <c r="U16"/>
    </row>
    <row r="17" spans="2:21" ht="15" thickBot="1" x14ac:dyDescent="0.35">
      <c r="B17" s="174">
        <v>44621</v>
      </c>
      <c r="C17" s="227">
        <v>58.28</v>
      </c>
      <c r="D17" s="172">
        <f t="shared" si="0"/>
        <v>-3.249529673336693E-3</v>
      </c>
      <c r="F17" s="193">
        <v>17464.75</v>
      </c>
      <c r="G17" s="172">
        <f t="shared" si="1"/>
        <v>3.9946051840251462E-2</v>
      </c>
      <c r="L17" s="224" t="s">
        <v>51</v>
      </c>
      <c r="M17" s="224">
        <v>57</v>
      </c>
      <c r="N17"/>
      <c r="O17"/>
      <c r="P17"/>
      <c r="Q17"/>
      <c r="R17"/>
      <c r="S17"/>
      <c r="T17"/>
      <c r="U17"/>
    </row>
    <row r="18" spans="2:21" x14ac:dyDescent="0.3">
      <c r="B18" s="174">
        <v>44652</v>
      </c>
      <c r="C18" s="227">
        <v>60.41</v>
      </c>
      <c r="D18" s="172">
        <f t="shared" si="0"/>
        <v>3.6547700754975931E-2</v>
      </c>
      <c r="F18" s="193">
        <v>17102.55</v>
      </c>
      <c r="G18" s="172">
        <f t="shared" si="1"/>
        <v>-2.0738916961307807E-2</v>
      </c>
      <c r="L18"/>
      <c r="M18"/>
      <c r="N18"/>
      <c r="O18"/>
      <c r="P18"/>
      <c r="Q18"/>
      <c r="R18"/>
      <c r="S18"/>
      <c r="T18"/>
      <c r="U18"/>
    </row>
    <row r="19" spans="2:21" ht="15" thickBot="1" x14ac:dyDescent="0.35">
      <c r="B19" s="174">
        <v>44682</v>
      </c>
      <c r="C19" s="227">
        <v>59.66</v>
      </c>
      <c r="D19" s="172">
        <f t="shared" si="0"/>
        <v>-1.2415163052474809E-2</v>
      </c>
      <c r="F19" s="193">
        <v>16584.55</v>
      </c>
      <c r="G19" s="172">
        <f t="shared" si="1"/>
        <v>-3.0287881046978327E-2</v>
      </c>
      <c r="L19" t="s">
        <v>52</v>
      </c>
      <c r="M19"/>
      <c r="N19"/>
      <c r="O19"/>
      <c r="P19"/>
      <c r="Q19"/>
      <c r="R19"/>
      <c r="S19"/>
      <c r="T19"/>
      <c r="U19"/>
    </row>
    <row r="20" spans="2:21" x14ac:dyDescent="0.3">
      <c r="B20" s="174">
        <v>44713</v>
      </c>
      <c r="C20" s="227">
        <v>59.42</v>
      </c>
      <c r="D20" s="172">
        <f t="shared" si="0"/>
        <v>-4.0227958431108268E-3</v>
      </c>
      <c r="F20" s="193">
        <v>15780.25</v>
      </c>
      <c r="G20" s="172">
        <f t="shared" si="1"/>
        <v>-4.8496944445281853E-2</v>
      </c>
      <c r="L20" s="225"/>
      <c r="M20" s="225" t="s">
        <v>53</v>
      </c>
      <c r="N20" s="225" t="s">
        <v>54</v>
      </c>
      <c r="O20" s="225" t="s">
        <v>55</v>
      </c>
      <c r="P20" s="225" t="s">
        <v>56</v>
      </c>
      <c r="Q20" s="225" t="s">
        <v>57</v>
      </c>
      <c r="R20"/>
      <c r="S20"/>
      <c r="T20"/>
      <c r="U20"/>
    </row>
    <row r="21" spans="2:21" x14ac:dyDescent="0.3">
      <c r="B21" s="174">
        <v>44743</v>
      </c>
      <c r="C21" s="227">
        <v>64.53</v>
      </c>
      <c r="D21" s="172">
        <f t="shared" si="0"/>
        <v>8.5997980477953595E-2</v>
      </c>
      <c r="F21" s="193">
        <v>17158.25</v>
      </c>
      <c r="G21" s="172">
        <f t="shared" si="1"/>
        <v>8.7324345305048956E-2</v>
      </c>
      <c r="L21" t="s">
        <v>58</v>
      </c>
      <c r="M21">
        <v>1</v>
      </c>
      <c r="N21">
        <v>2.3244793569787703E-4</v>
      </c>
      <c r="O21">
        <v>2.3244793569787703E-4</v>
      </c>
      <c r="P21">
        <v>1.205705016223989E-2</v>
      </c>
      <c r="Q21">
        <v>0.91296401723588527</v>
      </c>
      <c r="R21"/>
      <c r="S21"/>
      <c r="T21"/>
      <c r="U21"/>
    </row>
    <row r="22" spans="2:21" x14ac:dyDescent="0.3">
      <c r="B22" s="174">
        <v>44774</v>
      </c>
      <c r="C22" s="227">
        <v>80.989999999999995</v>
      </c>
      <c r="D22" s="172">
        <f t="shared" si="0"/>
        <v>0.25507515884084908</v>
      </c>
      <c r="F22" s="193">
        <v>17759.3</v>
      </c>
      <c r="G22" s="172">
        <f t="shared" si="1"/>
        <v>3.5029796162195925E-2</v>
      </c>
      <c r="L22" t="s">
        <v>59</v>
      </c>
      <c r="M22">
        <v>55</v>
      </c>
      <c r="N22">
        <v>1.0603452993354869</v>
      </c>
      <c r="O22">
        <v>1.9279005442463398E-2</v>
      </c>
      <c r="P22"/>
      <c r="Q22"/>
      <c r="R22"/>
      <c r="S22"/>
      <c r="T22"/>
      <c r="U22"/>
    </row>
    <row r="23" spans="2:21" ht="15" thickBot="1" x14ac:dyDescent="0.35">
      <c r="B23" s="174">
        <v>44805</v>
      </c>
      <c r="C23" s="227">
        <v>95.52</v>
      </c>
      <c r="D23" s="172">
        <f t="shared" si="0"/>
        <v>0.17940486479812323</v>
      </c>
      <c r="F23" s="193">
        <v>17094.349999999999</v>
      </c>
      <c r="G23" s="172">
        <f t="shared" si="1"/>
        <v>-3.7442354146841383E-2</v>
      </c>
      <c r="L23" s="224" t="s">
        <v>60</v>
      </c>
      <c r="M23" s="224">
        <v>56</v>
      </c>
      <c r="N23" s="224">
        <v>1.0605777472711848</v>
      </c>
      <c r="O23" s="224"/>
      <c r="P23" s="224"/>
      <c r="Q23" s="224"/>
      <c r="R23"/>
      <c r="S23"/>
      <c r="T23"/>
      <c r="U23"/>
    </row>
    <row r="24" spans="2:21" ht="15" thickBot="1" x14ac:dyDescent="0.35">
      <c r="B24" s="174">
        <v>44835</v>
      </c>
      <c r="C24" s="227">
        <v>101.67</v>
      </c>
      <c r="D24" s="172">
        <f t="shared" si="0"/>
        <v>6.438442211055273E-2</v>
      </c>
      <c r="F24" s="193">
        <v>18012.2</v>
      </c>
      <c r="G24" s="172">
        <f t="shared" si="1"/>
        <v>5.3693179325332796E-2</v>
      </c>
      <c r="L24"/>
      <c r="M24"/>
      <c r="N24"/>
      <c r="O24"/>
      <c r="P24"/>
      <c r="Q24"/>
      <c r="R24"/>
      <c r="S24"/>
      <c r="T24"/>
      <c r="U24"/>
    </row>
    <row r="25" spans="2:21" x14ac:dyDescent="0.3">
      <c r="B25" s="174">
        <v>44866</v>
      </c>
      <c r="C25" s="227">
        <v>105.05</v>
      </c>
      <c r="D25" s="172">
        <f t="shared" si="0"/>
        <v>3.3244811645519734E-2</v>
      </c>
      <c r="F25" s="193">
        <v>18758.349999999999</v>
      </c>
      <c r="G25" s="172">
        <f t="shared" si="1"/>
        <v>4.1424701035964295E-2</v>
      </c>
      <c r="L25" s="225"/>
      <c r="M25" s="225" t="s">
        <v>61</v>
      </c>
      <c r="N25" s="225" t="s">
        <v>50</v>
      </c>
      <c r="O25" s="225" t="s">
        <v>62</v>
      </c>
      <c r="P25" s="225" t="s">
        <v>63</v>
      </c>
      <c r="Q25" s="225" t="s">
        <v>64</v>
      </c>
      <c r="R25" s="225" t="s">
        <v>65</v>
      </c>
      <c r="S25" s="225" t="s">
        <v>66</v>
      </c>
      <c r="T25" s="225" t="s">
        <v>67</v>
      </c>
      <c r="U25"/>
    </row>
    <row r="26" spans="2:21" x14ac:dyDescent="0.3">
      <c r="B26" s="174">
        <v>44896</v>
      </c>
      <c r="C26" s="227">
        <v>125.53</v>
      </c>
      <c r="D26" s="172">
        <f t="shared" si="0"/>
        <v>0.19495478343645889</v>
      </c>
      <c r="F26" s="193">
        <v>18105.3</v>
      </c>
      <c r="G26" s="172">
        <f t="shared" si="1"/>
        <v>-3.4813829574562805E-2</v>
      </c>
      <c r="L26" t="s">
        <v>68</v>
      </c>
      <c r="M26">
        <v>4.1510436402422433E-2</v>
      </c>
      <c r="N26">
        <v>1.8991923664674802E-2</v>
      </c>
      <c r="O26">
        <v>2.1856888820394915</v>
      </c>
      <c r="P26">
        <v>3.3113924882566453E-2</v>
      </c>
      <c r="Q26">
        <v>3.4497708576052277E-3</v>
      </c>
      <c r="R26">
        <v>7.9571101947239639E-2</v>
      </c>
      <c r="S26">
        <v>3.4497708576052277E-3</v>
      </c>
      <c r="T26">
        <v>7.9571101947239639E-2</v>
      </c>
      <c r="U26"/>
    </row>
    <row r="27" spans="2:21" ht="15" thickBot="1" x14ac:dyDescent="0.35">
      <c r="B27" s="174">
        <v>44927</v>
      </c>
      <c r="C27" s="227">
        <v>117</v>
      </c>
      <c r="D27" s="172">
        <f t="shared" si="0"/>
        <v>-6.7951884011789976E-2</v>
      </c>
      <c r="F27" s="193">
        <v>17662.150000000001</v>
      </c>
      <c r="G27" s="172">
        <f t="shared" si="1"/>
        <v>-2.4476258333195111E-2</v>
      </c>
      <c r="L27" s="224" t="s">
        <v>69</v>
      </c>
      <c r="M27" s="224">
        <v>5.7413536496867361E-2</v>
      </c>
      <c r="N27" s="224">
        <v>0.5228700486312271</v>
      </c>
      <c r="O27" s="224">
        <v>0.10980459991381208</v>
      </c>
      <c r="P27" s="224">
        <v>0.91296401723591236</v>
      </c>
      <c r="Q27" s="224">
        <v>-0.99044145680068518</v>
      </c>
      <c r="R27" s="224">
        <v>1.1052685297944198</v>
      </c>
      <c r="S27" s="224">
        <v>-0.99044145680068518</v>
      </c>
      <c r="T27" s="224">
        <v>1.1052685297944198</v>
      </c>
      <c r="U27"/>
    </row>
    <row r="28" spans="2:21" x14ac:dyDescent="0.3">
      <c r="B28" s="174">
        <v>44958</v>
      </c>
      <c r="C28" s="227">
        <v>112.73</v>
      </c>
      <c r="D28" s="172">
        <f t="shared" si="0"/>
        <v>-3.649572649572641E-2</v>
      </c>
      <c r="F28" s="193">
        <v>17303.95</v>
      </c>
      <c r="G28" s="172">
        <f t="shared" si="1"/>
        <v>-2.0280656658447582E-2</v>
      </c>
      <c r="L28"/>
      <c r="M28"/>
      <c r="N28"/>
      <c r="O28"/>
      <c r="P28"/>
      <c r="Q28"/>
      <c r="R28"/>
      <c r="S28"/>
      <c r="T28"/>
      <c r="U28"/>
    </row>
    <row r="29" spans="2:21" x14ac:dyDescent="0.3">
      <c r="B29" s="174">
        <v>44986</v>
      </c>
      <c r="C29" s="227">
        <v>104.5</v>
      </c>
      <c r="D29" s="172">
        <f t="shared" si="0"/>
        <v>-7.3006298234720157E-2</v>
      </c>
      <c r="F29" s="193">
        <v>17359.75</v>
      </c>
      <c r="G29" s="172">
        <f t="shared" si="1"/>
        <v>3.2246972512055549E-3</v>
      </c>
      <c r="L29"/>
      <c r="M29"/>
      <c r="N29"/>
      <c r="O29"/>
      <c r="P29"/>
      <c r="Q29"/>
      <c r="R29"/>
      <c r="S29"/>
      <c r="T29"/>
      <c r="U29"/>
    </row>
    <row r="30" spans="2:21" x14ac:dyDescent="0.3">
      <c r="B30" s="174">
        <v>45017</v>
      </c>
      <c r="C30" s="227">
        <v>101.87</v>
      </c>
      <c r="D30" s="172">
        <f t="shared" si="0"/>
        <v>-2.5167464114832505E-2</v>
      </c>
      <c r="F30" s="193">
        <v>18065</v>
      </c>
      <c r="G30" s="172">
        <f t="shared" si="1"/>
        <v>4.0625585045867663E-2</v>
      </c>
      <c r="L30"/>
      <c r="M30"/>
      <c r="N30"/>
      <c r="O30"/>
      <c r="P30"/>
      <c r="Q30"/>
      <c r="R30"/>
      <c r="S30"/>
      <c r="T30"/>
      <c r="U30"/>
    </row>
    <row r="31" spans="2:21" x14ac:dyDescent="0.3">
      <c r="B31" s="174">
        <v>45047</v>
      </c>
      <c r="C31" s="227">
        <v>104.8</v>
      </c>
      <c r="D31" s="172">
        <f t="shared" si="0"/>
        <v>2.8762147835476481E-2</v>
      </c>
      <c r="F31" s="193">
        <v>18534.400000000001</v>
      </c>
      <c r="G31" s="172">
        <f t="shared" si="1"/>
        <v>2.5983946858566309E-2</v>
      </c>
      <c r="M31"/>
      <c r="N31"/>
      <c r="O31"/>
      <c r="P31"/>
      <c r="Q31"/>
      <c r="R31"/>
      <c r="S31"/>
      <c r="T31"/>
      <c r="U31"/>
    </row>
    <row r="32" spans="2:21" x14ac:dyDescent="0.3">
      <c r="B32" s="174">
        <v>45078</v>
      </c>
      <c r="C32" s="227">
        <v>145.86000000000001</v>
      </c>
      <c r="D32" s="172">
        <f t="shared" si="0"/>
        <v>0.39179389312977109</v>
      </c>
      <c r="F32" s="193">
        <v>19189.05</v>
      </c>
      <c r="G32" s="172">
        <f t="shared" si="1"/>
        <v>3.5320808874309328E-2</v>
      </c>
      <c r="M32"/>
      <c r="N32"/>
      <c r="O32"/>
      <c r="P32"/>
      <c r="Q32"/>
      <c r="R32"/>
      <c r="S32"/>
      <c r="T32"/>
      <c r="U32"/>
    </row>
    <row r="33" spans="2:7" x14ac:dyDescent="0.3">
      <c r="B33" s="174">
        <v>45108</v>
      </c>
      <c r="C33" s="227">
        <v>173.29</v>
      </c>
      <c r="D33" s="172">
        <f t="shared" si="0"/>
        <v>0.18805704099821741</v>
      </c>
      <c r="F33" s="193">
        <v>19753.8</v>
      </c>
      <c r="G33" s="172">
        <f t="shared" si="1"/>
        <v>2.9430847280089489E-2</v>
      </c>
    </row>
    <row r="34" spans="2:7" x14ac:dyDescent="0.3">
      <c r="B34" s="174">
        <v>45139</v>
      </c>
      <c r="C34" s="227">
        <v>249.77</v>
      </c>
      <c r="D34" s="172">
        <f t="shared" si="0"/>
        <v>0.44134110450689601</v>
      </c>
      <c r="F34" s="193">
        <v>19253.8</v>
      </c>
      <c r="G34" s="172">
        <f t="shared" si="1"/>
        <v>-2.5311585618969512E-2</v>
      </c>
    </row>
    <row r="35" spans="2:7" x14ac:dyDescent="0.3">
      <c r="B35" s="174">
        <v>45200</v>
      </c>
      <c r="C35" s="227">
        <v>287.20999999999998</v>
      </c>
      <c r="D35" s="172">
        <f t="shared" si="0"/>
        <v>0.14989790607358766</v>
      </c>
      <c r="F35" s="193">
        <v>19638.3</v>
      </c>
      <c r="G35" s="172">
        <f t="shared" si="1"/>
        <v>1.9970083827608009E-2</v>
      </c>
    </row>
    <row r="36" spans="2:7" x14ac:dyDescent="0.3">
      <c r="B36" s="174">
        <v>45231</v>
      </c>
      <c r="C36" s="227">
        <v>323.43</v>
      </c>
      <c r="D36" s="172">
        <f t="shared" si="0"/>
        <v>0.12610981511785813</v>
      </c>
      <c r="F36" s="193">
        <v>19079.599999999999</v>
      </c>
      <c r="G36" s="172">
        <f t="shared" si="1"/>
        <v>-2.844950937708457E-2</v>
      </c>
    </row>
    <row r="37" spans="2:7" x14ac:dyDescent="0.3">
      <c r="B37" s="174">
        <v>45261</v>
      </c>
      <c r="C37" s="227">
        <v>352.28</v>
      </c>
      <c r="D37" s="172">
        <f t="shared" si="0"/>
        <v>8.920013604180177E-2</v>
      </c>
      <c r="F37" s="193">
        <v>20133.150000000001</v>
      </c>
      <c r="G37" s="172">
        <f t="shared" si="1"/>
        <v>5.5218662865049728E-2</v>
      </c>
    </row>
    <row r="38" spans="2:7" x14ac:dyDescent="0.3">
      <c r="B38" s="174">
        <v>45292</v>
      </c>
      <c r="C38" s="227">
        <v>348.4</v>
      </c>
      <c r="D38" s="172">
        <f t="shared" si="0"/>
        <v>-1.101396616327921E-2</v>
      </c>
      <c r="F38" s="193">
        <v>21731.4</v>
      </c>
      <c r="G38" s="172">
        <f t="shared" si="1"/>
        <v>7.9384001013254268E-2</v>
      </c>
    </row>
    <row r="39" spans="2:7" x14ac:dyDescent="0.3">
      <c r="B39" s="174">
        <v>45323</v>
      </c>
      <c r="C39" s="227">
        <v>394.81</v>
      </c>
      <c r="D39" s="172">
        <f t="shared" si="0"/>
        <v>0.13320895522388065</v>
      </c>
      <c r="F39" s="193">
        <v>21725.7</v>
      </c>
      <c r="G39" s="172">
        <f t="shared" si="1"/>
        <v>-2.6229327148741266E-4</v>
      </c>
    </row>
    <row r="40" spans="2:7" x14ac:dyDescent="0.3">
      <c r="B40" s="174">
        <v>45352</v>
      </c>
      <c r="C40" s="227">
        <v>425.6</v>
      </c>
      <c r="D40" s="172">
        <f t="shared" ref="D40:D64" si="2">C40/C39-1</f>
        <v>7.7986879764950334E-2</v>
      </c>
      <c r="F40" s="193">
        <v>21982.799999999999</v>
      </c>
      <c r="G40" s="172">
        <f t="shared" si="1"/>
        <v>1.1833910990209695E-2</v>
      </c>
    </row>
    <row r="41" spans="2:7" x14ac:dyDescent="0.3">
      <c r="B41" s="174">
        <v>45383</v>
      </c>
      <c r="C41" s="227">
        <v>411.97</v>
      </c>
      <c r="D41" s="172">
        <f t="shared" si="2"/>
        <v>-3.2025375939849665E-2</v>
      </c>
      <c r="F41" s="193">
        <v>22326.9</v>
      </c>
      <c r="G41" s="172">
        <f t="shared" si="1"/>
        <v>1.5653147005840973E-2</v>
      </c>
    </row>
    <row r="42" spans="2:7" x14ac:dyDescent="0.3">
      <c r="B42" s="174">
        <v>45413</v>
      </c>
      <c r="C42" s="227">
        <v>386.45</v>
      </c>
      <c r="D42" s="172">
        <f t="shared" si="2"/>
        <v>-6.1946258222686179E-2</v>
      </c>
      <c r="F42" s="193">
        <v>22604.85</v>
      </c>
      <c r="G42" s="172">
        <f t="shared" si="1"/>
        <v>1.2449108474530624E-2</v>
      </c>
    </row>
    <row r="43" spans="2:7" x14ac:dyDescent="0.3">
      <c r="B43" s="174">
        <v>45444</v>
      </c>
      <c r="C43" s="227">
        <v>498.57</v>
      </c>
      <c r="D43" s="172">
        <f t="shared" si="2"/>
        <v>0.29012808901539655</v>
      </c>
      <c r="F43" s="193">
        <v>22530.7</v>
      </c>
      <c r="G43" s="172">
        <f t="shared" si="1"/>
        <v>-3.2802694996869608E-3</v>
      </c>
    </row>
    <row r="44" spans="2:7" x14ac:dyDescent="0.3">
      <c r="B44" s="174">
        <v>45474</v>
      </c>
      <c r="C44" s="227">
        <v>576.41999999999996</v>
      </c>
      <c r="D44" s="172">
        <f t="shared" si="2"/>
        <v>0.15614657921655928</v>
      </c>
      <c r="F44" s="193">
        <v>24010.6</v>
      </c>
      <c r="G44" s="172">
        <f t="shared" si="1"/>
        <v>6.5683711558007341E-2</v>
      </c>
    </row>
    <row r="45" spans="2:7" x14ac:dyDescent="0.3">
      <c r="B45" s="174">
        <v>45505</v>
      </c>
      <c r="C45" s="227">
        <v>612.03</v>
      </c>
      <c r="D45" s="172">
        <f t="shared" si="2"/>
        <v>6.1777870302904159E-2</v>
      </c>
      <c r="F45" s="193">
        <v>24951.15</v>
      </c>
      <c r="G45" s="172">
        <f t="shared" si="1"/>
        <v>3.917228224200997E-2</v>
      </c>
    </row>
    <row r="46" spans="2:7" x14ac:dyDescent="0.3">
      <c r="B46" s="174">
        <v>45536</v>
      </c>
      <c r="C46" s="227">
        <v>728.12</v>
      </c>
      <c r="D46" s="172">
        <f t="shared" si="2"/>
        <v>0.18968024443246256</v>
      </c>
      <c r="F46" s="193">
        <v>25235.9</v>
      </c>
      <c r="G46" s="172">
        <f t="shared" si="1"/>
        <v>1.141229963348378E-2</v>
      </c>
    </row>
    <row r="47" spans="2:7" x14ac:dyDescent="0.3">
      <c r="B47" s="174">
        <v>45597</v>
      </c>
      <c r="C47" s="227">
        <v>722.34</v>
      </c>
      <c r="D47" s="172">
        <f t="shared" si="2"/>
        <v>-7.9382519364940007E-3</v>
      </c>
      <c r="F47" s="193">
        <v>25810.85</v>
      </c>
      <c r="G47" s="172">
        <f t="shared" si="1"/>
        <v>2.2783019428670892E-2</v>
      </c>
    </row>
    <row r="48" spans="2:7" x14ac:dyDescent="0.3">
      <c r="B48" s="174">
        <v>45627</v>
      </c>
      <c r="C48" s="227">
        <v>764.01</v>
      </c>
      <c r="D48" s="172">
        <f t="shared" si="2"/>
        <v>5.768751557438323E-2</v>
      </c>
      <c r="F48" s="193">
        <v>24205.35</v>
      </c>
      <c r="G48" s="172">
        <f t="shared" si="1"/>
        <v>-6.2202523357425266E-2</v>
      </c>
    </row>
    <row r="49" spans="2:7" x14ac:dyDescent="0.3">
      <c r="B49" s="174">
        <v>45658</v>
      </c>
      <c r="C49" s="227">
        <v>501.63</v>
      </c>
      <c r="D49" s="172">
        <f t="shared" si="2"/>
        <v>-0.34342482428240473</v>
      </c>
      <c r="F49" s="193">
        <v>24131.1</v>
      </c>
      <c r="G49" s="172">
        <f t="shared" si="1"/>
        <v>-3.0675036717089377E-3</v>
      </c>
    </row>
    <row r="50" spans="2:7" x14ac:dyDescent="0.3">
      <c r="B50" s="174">
        <v>45689</v>
      </c>
      <c r="C50" s="227">
        <v>460.9</v>
      </c>
      <c r="D50" s="172">
        <f t="shared" si="2"/>
        <v>-8.1195303311205502E-2</v>
      </c>
      <c r="F50" s="193">
        <v>23644.799999999999</v>
      </c>
      <c r="G50" s="172">
        <f t="shared" si="1"/>
        <v>-2.0152417419844082E-2</v>
      </c>
    </row>
    <row r="51" spans="2:7" x14ac:dyDescent="0.3">
      <c r="B51" s="174">
        <v>45717</v>
      </c>
      <c r="C51" s="227">
        <v>465.89</v>
      </c>
      <c r="D51" s="172">
        <f t="shared" si="2"/>
        <v>1.0826643523540902E-2</v>
      </c>
      <c r="F51" s="193">
        <v>23508.400000000001</v>
      </c>
      <c r="G51" s="172">
        <f t="shared" si="1"/>
        <v>-5.7687102449586192E-3</v>
      </c>
    </row>
    <row r="52" spans="2:7" x14ac:dyDescent="0.3">
      <c r="B52" s="174">
        <v>45748</v>
      </c>
      <c r="C52" s="227">
        <v>515.04</v>
      </c>
      <c r="D52" s="172">
        <f t="shared" si="2"/>
        <v>0.10549700573096654</v>
      </c>
      <c r="F52" s="193">
        <v>22124.7</v>
      </c>
      <c r="G52" s="172">
        <f t="shared" si="1"/>
        <v>-5.8859811811948104E-2</v>
      </c>
    </row>
    <row r="53" spans="2:7" x14ac:dyDescent="0.3">
      <c r="B53" s="174">
        <v>45778</v>
      </c>
      <c r="C53" s="227">
        <v>558.76</v>
      </c>
      <c r="D53" s="172">
        <f t="shared" si="2"/>
        <v>8.4886610748679869E-2</v>
      </c>
      <c r="F53" s="193">
        <v>23519.35</v>
      </c>
      <c r="G53" s="172">
        <f t="shared" si="1"/>
        <v>6.3035882972424462E-2</v>
      </c>
    </row>
    <row r="54" spans="2:7" x14ac:dyDescent="0.3">
      <c r="B54" s="174">
        <v>45809</v>
      </c>
      <c r="C54" s="227">
        <v>554.23</v>
      </c>
      <c r="D54" s="172">
        <f t="shared" si="2"/>
        <v>-8.1072374543631476E-3</v>
      </c>
      <c r="F54" s="193">
        <v>24334.2</v>
      </c>
      <c r="G54" s="172">
        <f t="shared" si="1"/>
        <v>3.4645940470293679E-2</v>
      </c>
    </row>
    <row r="55" spans="2:7" x14ac:dyDescent="0.3">
      <c r="B55" s="174">
        <v>45839</v>
      </c>
      <c r="C55" s="227">
        <v>592.96</v>
      </c>
      <c r="D55" s="172">
        <f t="shared" si="2"/>
        <v>6.9880735434747265E-2</v>
      </c>
      <c r="F55" s="193">
        <v>24750.7</v>
      </c>
      <c r="G55" s="172">
        <f t="shared" si="1"/>
        <v>1.7115828751304685E-2</v>
      </c>
    </row>
    <row r="56" spans="2:7" x14ac:dyDescent="0.3">
      <c r="B56" s="174">
        <v>45870</v>
      </c>
      <c r="C56" s="227">
        <v>502.68</v>
      </c>
      <c r="D56" s="172">
        <f t="shared" si="2"/>
        <v>-0.15225310307609285</v>
      </c>
      <c r="F56" s="193">
        <v>25517.05</v>
      </c>
      <c r="G56" s="172">
        <f t="shared" si="1"/>
        <v>3.0962760649193788E-2</v>
      </c>
    </row>
    <row r="57" spans="2:7" x14ac:dyDescent="0.3">
      <c r="B57" s="174">
        <v>45901</v>
      </c>
      <c r="C57" s="227">
        <v>452.97</v>
      </c>
      <c r="D57" s="172">
        <f t="shared" si="2"/>
        <v>-9.8889949868703697E-2</v>
      </c>
      <c r="F57" s="193">
        <v>24768.35</v>
      </c>
      <c r="G57" s="172">
        <f t="shared" si="1"/>
        <v>-2.9341166004691055E-2</v>
      </c>
    </row>
    <row r="58" spans="2:7" x14ac:dyDescent="0.3">
      <c r="B58" s="174">
        <v>45931</v>
      </c>
      <c r="C58" s="227">
        <v>509.7</v>
      </c>
      <c r="D58" s="172">
        <f t="shared" si="2"/>
        <v>0.12524008212464399</v>
      </c>
      <c r="F58" s="193">
        <v>24426.85</v>
      </c>
      <c r="G58" s="172">
        <f t="shared" si="1"/>
        <v>-1.3787757359694952E-2</v>
      </c>
    </row>
    <row r="59" spans="2:7" x14ac:dyDescent="0.3">
      <c r="B59" s="174">
        <v>45962</v>
      </c>
      <c r="C59" s="227">
        <v>505.35</v>
      </c>
      <c r="D59" s="172">
        <f t="shared" si="2"/>
        <v>-8.5344320188345257E-3</v>
      </c>
      <c r="F59" s="193">
        <v>24611.1</v>
      </c>
      <c r="G59" s="172">
        <f t="shared" si="1"/>
        <v>7.5429291947182175E-3</v>
      </c>
    </row>
    <row r="60" spans="2:7" x14ac:dyDescent="0.3">
      <c r="B60" s="174">
        <v>46023</v>
      </c>
      <c r="C60" s="227">
        <v>361.65</v>
      </c>
      <c r="D60" s="172">
        <f t="shared" si="2"/>
        <v>-0.28435737607598699</v>
      </c>
      <c r="F60" s="193">
        <v>25722.1</v>
      </c>
      <c r="G60" s="172">
        <f t="shared" si="1"/>
        <v>4.5142232569856722E-2</v>
      </c>
    </row>
    <row r="61" spans="2:7" x14ac:dyDescent="0.3">
      <c r="B61" s="174">
        <v>46054</v>
      </c>
      <c r="C61" s="227">
        <v>410.1</v>
      </c>
      <c r="D61" s="172">
        <f t="shared" si="2"/>
        <v>0.13396930734135237</v>
      </c>
      <c r="F61" s="193">
        <v>26202.95</v>
      </c>
      <c r="G61" s="172">
        <f t="shared" si="1"/>
        <v>1.8694041310779452E-2</v>
      </c>
    </row>
    <row r="62" spans="2:7" x14ac:dyDescent="0.3">
      <c r="B62" s="174">
        <v>46082</v>
      </c>
      <c r="C62" s="227">
        <v>375.9</v>
      </c>
      <c r="D62" s="172">
        <f t="shared" si="2"/>
        <v>-8.3394294074616071E-2</v>
      </c>
      <c r="F62" s="193">
        <v>26129.599999999999</v>
      </c>
      <c r="G62" s="172">
        <f t="shared" si="1"/>
        <v>-2.7993031318993555E-3</v>
      </c>
    </row>
    <row r="63" spans="2:7" x14ac:dyDescent="0.3">
      <c r="B63" s="174">
        <v>46113</v>
      </c>
      <c r="C63" s="227">
        <v>394.35</v>
      </c>
      <c r="D63" s="172">
        <f t="shared" si="2"/>
        <v>4.9082202713487844E-2</v>
      </c>
      <c r="F63" s="193">
        <v>25320.65</v>
      </c>
      <c r="G63" s="172">
        <f t="shared" si="1"/>
        <v>-3.0959142122343852E-2</v>
      </c>
    </row>
    <row r="64" spans="2:7" x14ac:dyDescent="0.3">
      <c r="B64" s="174">
        <v>46118</v>
      </c>
      <c r="C64" s="227">
        <v>420.35</v>
      </c>
      <c r="D64" s="172">
        <f t="shared" si="2"/>
        <v>6.5931279320400549E-2</v>
      </c>
      <c r="F64" s="193">
        <v>25178.65</v>
      </c>
      <c r="G64" s="172">
        <f t="shared" si="1"/>
        <v>-5.6080708828565307E-3</v>
      </c>
    </row>
    <row r="65" spans="2:22" x14ac:dyDescent="0.3">
      <c r="B65" s="124"/>
      <c r="F65" s="193">
        <v>22331.4</v>
      </c>
      <c r="S65" s="188"/>
      <c r="V65" s="188"/>
    </row>
    <row r="66" spans="2:22" x14ac:dyDescent="0.3">
      <c r="B66" s="124"/>
      <c r="F66" s="193">
        <v>22713.1</v>
      </c>
      <c r="S66" s="188"/>
      <c r="V66" s="188"/>
    </row>
    <row r="67" spans="2:22" x14ac:dyDescent="0.3">
      <c r="B67" s="124"/>
      <c r="F67" s="193">
        <v>22968.25</v>
      </c>
      <c r="S67" s="188"/>
    </row>
    <row r="68" spans="2:22" x14ac:dyDescent="0.3">
      <c r="B68" s="124"/>
      <c r="S68" s="188"/>
    </row>
    <row r="69" spans="2:22" x14ac:dyDescent="0.3">
      <c r="B69" s="124"/>
      <c r="S69" s="188"/>
    </row>
    <row r="70" spans="2:22" x14ac:dyDescent="0.3">
      <c r="B70" s="124"/>
    </row>
    <row r="71" spans="2:22" x14ac:dyDescent="0.3">
      <c r="B71" s="124"/>
    </row>
    <row r="72" spans="2:22" x14ac:dyDescent="0.3">
      <c r="B72" s="124"/>
    </row>
    <row r="73" spans="2:22" x14ac:dyDescent="0.3">
      <c r="B73" s="124"/>
    </row>
    <row r="74" spans="2:22" x14ac:dyDescent="0.3">
      <c r="B74" s="124"/>
    </row>
    <row r="75" spans="2:22" x14ac:dyDescent="0.3">
      <c r="B75" s="124"/>
    </row>
    <row r="76" spans="2:22" x14ac:dyDescent="0.3">
      <c r="B76" s="124"/>
    </row>
    <row r="77" spans="2:22" x14ac:dyDescent="0.3">
      <c r="B77" s="124"/>
    </row>
    <row r="78" spans="2:22" x14ac:dyDescent="0.3">
      <c r="B78" s="124"/>
    </row>
    <row r="79" spans="2:22" x14ac:dyDescent="0.3">
      <c r="B79" s="124"/>
    </row>
    <row r="80" spans="2:22" x14ac:dyDescent="0.3">
      <c r="B80" s="124"/>
    </row>
    <row r="81" spans="2:2" x14ac:dyDescent="0.3">
      <c r="B81" s="124"/>
    </row>
    <row r="82" spans="2:2" x14ac:dyDescent="0.3">
      <c r="B82" s="124"/>
    </row>
    <row r="83" spans="2:2" x14ac:dyDescent="0.3">
      <c r="B83" s="124"/>
    </row>
    <row r="84" spans="2:2" x14ac:dyDescent="0.3">
      <c r="B84" s="124"/>
    </row>
    <row r="85" spans="2:2" x14ac:dyDescent="0.3">
      <c r="B85" s="124"/>
    </row>
    <row r="86" spans="2:2" x14ac:dyDescent="0.3">
      <c r="B86" s="124"/>
    </row>
    <row r="87" spans="2:2" x14ac:dyDescent="0.3">
      <c r="B87" s="124"/>
    </row>
    <row r="88" spans="2:2" x14ac:dyDescent="0.3">
      <c r="B88" s="124"/>
    </row>
    <row r="89" spans="2:2" x14ac:dyDescent="0.3">
      <c r="B89" s="124"/>
    </row>
    <row r="90" spans="2:2" x14ac:dyDescent="0.3">
      <c r="B90" s="124"/>
    </row>
    <row r="91" spans="2:2" x14ac:dyDescent="0.3">
      <c r="B91" s="124"/>
    </row>
    <row r="92" spans="2:2" x14ac:dyDescent="0.3">
      <c r="B92" s="124"/>
    </row>
    <row r="93" spans="2:2" x14ac:dyDescent="0.3">
      <c r="B93" s="124"/>
    </row>
    <row r="94" spans="2:2" x14ac:dyDescent="0.3">
      <c r="B94" s="124"/>
    </row>
    <row r="95" spans="2:2" x14ac:dyDescent="0.3">
      <c r="B95" s="124"/>
    </row>
    <row r="96" spans="2:2" x14ac:dyDescent="0.3">
      <c r="B96" s="124"/>
    </row>
    <row r="97" spans="2:2" x14ac:dyDescent="0.3">
      <c r="B97" s="124"/>
    </row>
    <row r="98" spans="2:2" x14ac:dyDescent="0.3">
      <c r="B98" s="124"/>
    </row>
    <row r="99" spans="2:2" x14ac:dyDescent="0.3">
      <c r="B99" s="124"/>
    </row>
    <row r="100" spans="2:2" x14ac:dyDescent="0.3">
      <c r="B100" s="124"/>
    </row>
    <row r="101" spans="2:2" x14ac:dyDescent="0.3">
      <c r="B101" s="124"/>
    </row>
    <row r="102" spans="2:2" x14ac:dyDescent="0.3">
      <c r="B102" s="124"/>
    </row>
    <row r="103" spans="2:2" x14ac:dyDescent="0.3">
      <c r="B103" s="124"/>
    </row>
    <row r="104" spans="2:2" x14ac:dyDescent="0.3">
      <c r="B104" s="124"/>
    </row>
    <row r="105" spans="2:2" x14ac:dyDescent="0.3">
      <c r="B105" s="124"/>
    </row>
    <row r="106" spans="2:2" x14ac:dyDescent="0.3">
      <c r="B106" s="124"/>
    </row>
    <row r="107" spans="2:2" x14ac:dyDescent="0.3">
      <c r="B107" s="124"/>
    </row>
    <row r="108" spans="2:2" x14ac:dyDescent="0.3">
      <c r="B108" s="124"/>
    </row>
    <row r="109" spans="2:2" x14ac:dyDescent="0.3">
      <c r="B109" s="124"/>
    </row>
    <row r="110" spans="2:2" x14ac:dyDescent="0.3">
      <c r="B110" s="124"/>
    </row>
    <row r="111" spans="2:2" x14ac:dyDescent="0.3">
      <c r="B111" s="124"/>
    </row>
    <row r="112" spans="2:2" x14ac:dyDescent="0.3">
      <c r="B112" s="124"/>
    </row>
    <row r="113" spans="2:3" x14ac:dyDescent="0.3">
      <c r="B113" s="124"/>
    </row>
    <row r="114" spans="2:3" x14ac:dyDescent="0.3">
      <c r="B114" s="174"/>
      <c r="C114" s="173"/>
    </row>
    <row r="115" spans="2:3" x14ac:dyDescent="0.3">
      <c r="B115" s="174"/>
      <c r="C115" s="173"/>
    </row>
    <row r="116" spans="2:3" x14ac:dyDescent="0.3">
      <c r="B116" s="174"/>
      <c r="C116" s="173"/>
    </row>
  </sheetData>
  <mergeCells count="3">
    <mergeCell ref="B4:D4"/>
    <mergeCell ref="F4:G4"/>
    <mergeCell ref="I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D7CF-A641-494C-AEE1-2C5F9266A275}">
  <dimension ref="B2:Z118"/>
  <sheetViews>
    <sheetView showGridLines="0" workbookViewId="0">
      <selection activeCell="B2" sqref="B2"/>
    </sheetView>
  </sheetViews>
  <sheetFormatPr defaultColWidth="8.88671875" defaultRowHeight="14.4" x14ac:dyDescent="0.3"/>
  <cols>
    <col min="1" max="1" width="1.88671875" style="124" customWidth="1"/>
    <col min="2" max="2" width="28.6640625" style="124" bestFit="1" customWidth="1"/>
    <col min="3" max="3" width="12" style="124" bestFit="1" customWidth="1"/>
    <col min="4" max="4" width="7.6640625" style="124" bestFit="1" customWidth="1"/>
    <col min="5" max="5" width="8.88671875" style="124"/>
    <col min="6" max="6" width="11.5546875" style="124" bestFit="1" customWidth="1"/>
    <col min="7" max="7" width="6.6640625" style="124" bestFit="1" customWidth="1"/>
    <col min="8" max="8" width="8.88671875" style="124"/>
    <col min="9" max="9" width="17.5546875" style="124" bestFit="1" customWidth="1"/>
    <col min="10" max="10" width="7" style="124" bestFit="1" customWidth="1"/>
    <col min="11" max="11" width="8.88671875" style="124"/>
    <col min="12" max="12" width="17.44140625" style="124" bestFit="1" customWidth="1"/>
    <col min="13" max="13" width="12" style="124" bestFit="1" customWidth="1"/>
    <col min="14" max="14" width="13.44140625" style="124" bestFit="1" customWidth="1"/>
    <col min="15" max="16" width="12" style="124" bestFit="1" customWidth="1"/>
    <col min="17" max="17" width="12.6640625" style="124" bestFit="1" customWidth="1"/>
    <col min="18" max="18" width="12" style="124" bestFit="1" customWidth="1"/>
    <col min="19" max="19" width="12.6640625" style="124" bestFit="1" customWidth="1"/>
    <col min="20" max="20" width="12.109375" style="124" bestFit="1" customWidth="1"/>
    <col min="21" max="21" width="8.88671875" style="124" customWidth="1"/>
    <col min="22" max="22" width="9.88671875" style="124" bestFit="1" customWidth="1"/>
    <col min="23" max="24" width="8.88671875" style="124"/>
    <col min="25" max="25" width="9.88671875" style="124" bestFit="1" customWidth="1"/>
    <col min="26" max="16384" width="8.88671875" style="124"/>
  </cols>
  <sheetData>
    <row r="2" spans="2:25" x14ac:dyDescent="0.3">
      <c r="B2" s="178" t="s">
        <v>30</v>
      </c>
    </row>
    <row r="4" spans="2:25" x14ac:dyDescent="0.3">
      <c r="B4" s="267" t="s">
        <v>76</v>
      </c>
      <c r="C4" s="267"/>
      <c r="D4" s="267"/>
      <c r="F4" s="267" t="s">
        <v>32</v>
      </c>
      <c r="G4" s="267"/>
      <c r="I4" s="267" t="s">
        <v>33</v>
      </c>
      <c r="J4" s="267"/>
    </row>
    <row r="5" spans="2:25" x14ac:dyDescent="0.3">
      <c r="L5" s="124" t="s">
        <v>34</v>
      </c>
      <c r="M5" s="125">
        <f>SLOPE(D8:D67,G8:G67)</f>
        <v>1.0684007248404477</v>
      </c>
    </row>
    <row r="6" spans="2:25" x14ac:dyDescent="0.3">
      <c r="B6" s="177" t="s">
        <v>35</v>
      </c>
      <c r="C6" s="176" t="s">
        <v>74</v>
      </c>
      <c r="D6" s="176" t="s">
        <v>75</v>
      </c>
      <c r="F6" s="176" t="s">
        <v>36</v>
      </c>
      <c r="G6" s="176" t="s">
        <v>37</v>
      </c>
      <c r="I6" s="124" t="s">
        <v>38</v>
      </c>
      <c r="J6" s="125">
        <f>M7</f>
        <v>1.0684007248404475</v>
      </c>
      <c r="L6" s="124" t="s">
        <v>39</v>
      </c>
      <c r="M6" s="125">
        <f>_xlfn.COVARIANCE.S(D7:D67,G7:G67)/_xlfn.VAR.S(G7:G67)</f>
        <v>1.068400724840447</v>
      </c>
      <c r="V6" s="188"/>
      <c r="Y6" s="188"/>
    </row>
    <row r="7" spans="2:25" x14ac:dyDescent="0.3">
      <c r="B7" s="174">
        <v>44317</v>
      </c>
      <c r="C7" s="227">
        <v>382.07</v>
      </c>
      <c r="F7" s="193">
        <v>15582.8</v>
      </c>
      <c r="I7" s="124" t="s">
        <v>40</v>
      </c>
      <c r="J7" s="192">
        <v>0.75</v>
      </c>
      <c r="L7" s="124" t="s">
        <v>41</v>
      </c>
      <c r="M7" s="125">
        <f>M29</f>
        <v>1.0684007248404475</v>
      </c>
      <c r="V7" s="188"/>
      <c r="Y7" s="188"/>
    </row>
    <row r="8" spans="2:25" x14ac:dyDescent="0.3">
      <c r="B8" s="174">
        <v>44348</v>
      </c>
      <c r="C8" s="227">
        <v>394.4</v>
      </c>
      <c r="D8" s="172">
        <f t="shared" ref="D8:D39" si="0">C8/C7-1</f>
        <v>3.2271573271913434E-2</v>
      </c>
      <c r="F8" s="193">
        <v>15721.5</v>
      </c>
      <c r="G8" s="172">
        <f>F8/F7-1</f>
        <v>8.9008393870164682E-3</v>
      </c>
      <c r="V8" s="188"/>
      <c r="Y8" s="188"/>
    </row>
    <row r="9" spans="2:25" x14ac:dyDescent="0.3">
      <c r="B9" s="174">
        <v>44378</v>
      </c>
      <c r="C9" s="227">
        <v>422.93</v>
      </c>
      <c r="D9" s="172">
        <f t="shared" si="0"/>
        <v>7.233772819472617E-2</v>
      </c>
      <c r="F9" s="193">
        <v>15763.05</v>
      </c>
      <c r="G9" s="172">
        <f t="shared" ref="G9:G67" si="1">F9/F8-1</f>
        <v>2.6428775880162902E-3</v>
      </c>
      <c r="I9" s="124" t="s">
        <v>42</v>
      </c>
      <c r="J9" s="194">
        <v>1</v>
      </c>
      <c r="V9" s="188"/>
      <c r="Y9" s="188"/>
    </row>
    <row r="10" spans="2:25" x14ac:dyDescent="0.3">
      <c r="B10" s="174">
        <v>44409</v>
      </c>
      <c r="C10" s="227">
        <v>492.43</v>
      </c>
      <c r="D10" s="172">
        <f t="shared" si="0"/>
        <v>0.16432979452864549</v>
      </c>
      <c r="F10" s="193">
        <v>17132.2</v>
      </c>
      <c r="G10" s="172">
        <f t="shared" si="1"/>
        <v>8.6858190515160638E-2</v>
      </c>
      <c r="I10" s="124" t="s">
        <v>43</v>
      </c>
      <c r="J10" s="192">
        <v>0.25</v>
      </c>
      <c r="V10" s="188"/>
      <c r="Y10" s="188"/>
    </row>
    <row r="11" spans="2:25" x14ac:dyDescent="0.3">
      <c r="B11" s="174">
        <v>44440</v>
      </c>
      <c r="C11" s="227">
        <v>539.13</v>
      </c>
      <c r="D11" s="172">
        <f t="shared" si="0"/>
        <v>9.4835814227402837E-2</v>
      </c>
      <c r="F11" s="193">
        <v>17618.150000000001</v>
      </c>
      <c r="G11" s="172">
        <f t="shared" si="1"/>
        <v>2.8364716732235173E-2</v>
      </c>
      <c r="V11" s="188"/>
      <c r="Y11" s="188"/>
    </row>
    <row r="12" spans="2:25" x14ac:dyDescent="0.3">
      <c r="B12" s="174">
        <v>44470</v>
      </c>
      <c r="C12" s="227">
        <v>628.59</v>
      </c>
      <c r="D12" s="172">
        <f t="shared" si="0"/>
        <v>0.16593400478548781</v>
      </c>
      <c r="F12" s="193">
        <v>17671.650000000001</v>
      </c>
      <c r="G12" s="172">
        <f t="shared" si="1"/>
        <v>3.0366411910445201E-3</v>
      </c>
      <c r="I12" s="127" t="s">
        <v>44</v>
      </c>
      <c r="J12" s="175">
        <f>(J6*J7)+(J9*J10)</f>
        <v>1.0513005436303355</v>
      </c>
      <c r="L12" t="s">
        <v>45</v>
      </c>
      <c r="M12"/>
      <c r="N12"/>
      <c r="O12"/>
      <c r="P12"/>
      <c r="Q12"/>
      <c r="R12"/>
      <c r="S12"/>
      <c r="T12"/>
      <c r="V12" s="188"/>
      <c r="Y12" s="188"/>
    </row>
    <row r="13" spans="2:25" ht="15" thickBot="1" x14ac:dyDescent="0.35">
      <c r="B13" s="174">
        <v>44501</v>
      </c>
      <c r="C13" s="227">
        <v>672.47</v>
      </c>
      <c r="D13" s="172">
        <f t="shared" si="0"/>
        <v>6.9807028428705564E-2</v>
      </c>
      <c r="F13" s="193">
        <v>16983.2</v>
      </c>
      <c r="G13" s="172">
        <f t="shared" si="1"/>
        <v>-3.8957878862471818E-2</v>
      </c>
      <c r="L13"/>
      <c r="M13"/>
      <c r="N13"/>
      <c r="O13"/>
      <c r="P13"/>
      <c r="Q13"/>
      <c r="R13"/>
      <c r="S13"/>
      <c r="T13"/>
      <c r="V13" s="188"/>
      <c r="Y13" s="188"/>
    </row>
    <row r="14" spans="2:25" x14ac:dyDescent="0.3">
      <c r="B14" s="174">
        <v>44531</v>
      </c>
      <c r="C14" s="227">
        <v>666.99</v>
      </c>
      <c r="D14" s="172">
        <f t="shared" si="0"/>
        <v>-8.1490624117060984E-3</v>
      </c>
      <c r="F14" s="193">
        <v>17354.05</v>
      </c>
      <c r="G14" s="172">
        <f t="shared" si="1"/>
        <v>2.1836285270149247E-2</v>
      </c>
      <c r="L14" s="226" t="s">
        <v>46</v>
      </c>
      <c r="M14" s="226"/>
      <c r="N14"/>
      <c r="O14"/>
      <c r="P14"/>
      <c r="Q14"/>
      <c r="R14"/>
      <c r="S14"/>
      <c r="T14"/>
      <c r="V14" s="188"/>
      <c r="Y14" s="188"/>
    </row>
    <row r="15" spans="2:25" x14ac:dyDescent="0.3">
      <c r="B15" s="174">
        <v>44562</v>
      </c>
      <c r="C15" s="227">
        <v>572.58000000000004</v>
      </c>
      <c r="D15" s="172">
        <f t="shared" si="0"/>
        <v>-0.14154635002024019</v>
      </c>
      <c r="F15" s="193">
        <v>17339.849999999999</v>
      </c>
      <c r="G15" s="172">
        <f t="shared" si="1"/>
        <v>-8.1825279977876253E-4</v>
      </c>
      <c r="L15" t="s">
        <v>47</v>
      </c>
      <c r="M15">
        <v>0.27386734867879126</v>
      </c>
      <c r="N15"/>
      <c r="O15"/>
      <c r="P15"/>
      <c r="Q15"/>
      <c r="R15"/>
      <c r="S15"/>
      <c r="T15"/>
      <c r="V15" s="188"/>
      <c r="Y15" s="188"/>
    </row>
    <row r="16" spans="2:25" x14ac:dyDescent="0.3">
      <c r="B16" s="174">
        <v>44593</v>
      </c>
      <c r="C16" s="227">
        <v>554.04</v>
      </c>
      <c r="D16" s="172">
        <f t="shared" si="0"/>
        <v>-3.2379754794090054E-2</v>
      </c>
      <c r="F16" s="193">
        <v>16793.900000000001</v>
      </c>
      <c r="G16" s="172">
        <f t="shared" si="1"/>
        <v>-3.1485278131010208E-2</v>
      </c>
      <c r="L16" t="s">
        <v>48</v>
      </c>
      <c r="M16">
        <v>7.500332467235063E-2</v>
      </c>
      <c r="N16"/>
      <c r="O16"/>
      <c r="P16"/>
      <c r="Q16"/>
      <c r="R16"/>
      <c r="S16"/>
      <c r="T16"/>
      <c r="V16" s="188"/>
      <c r="Y16" s="188"/>
    </row>
    <row r="17" spans="2:26" x14ac:dyDescent="0.3">
      <c r="B17" s="174">
        <v>44621</v>
      </c>
      <c r="C17" s="227">
        <v>530.74</v>
      </c>
      <c r="D17" s="172">
        <f t="shared" si="0"/>
        <v>-4.2054725290592621E-2</v>
      </c>
      <c r="F17" s="193">
        <v>17464.75</v>
      </c>
      <c r="G17" s="172">
        <f t="shared" si="1"/>
        <v>3.9946051840251462E-2</v>
      </c>
      <c r="L17" t="s">
        <v>49</v>
      </c>
      <c r="M17">
        <v>5.9055106132218746E-2</v>
      </c>
      <c r="N17"/>
      <c r="O17"/>
      <c r="P17"/>
      <c r="Q17"/>
      <c r="R17"/>
      <c r="S17"/>
      <c r="T17"/>
      <c r="V17" s="188"/>
      <c r="Y17" s="188"/>
    </row>
    <row r="18" spans="2:26" x14ac:dyDescent="0.3">
      <c r="B18" s="174">
        <v>44652</v>
      </c>
      <c r="C18" s="227">
        <v>551.65</v>
      </c>
      <c r="D18" s="172">
        <f t="shared" si="0"/>
        <v>3.9397821909032515E-2</v>
      </c>
      <c r="F18" s="193">
        <v>17102.55</v>
      </c>
      <c r="G18" s="172">
        <f t="shared" si="1"/>
        <v>-2.0738916961307807E-2</v>
      </c>
      <c r="L18" t="s">
        <v>50</v>
      </c>
      <c r="M18">
        <v>0.1438859776294224</v>
      </c>
      <c r="N18"/>
      <c r="O18"/>
      <c r="P18"/>
      <c r="Q18"/>
      <c r="R18"/>
      <c r="S18"/>
      <c r="T18"/>
      <c r="V18" s="188"/>
      <c r="Y18" s="188"/>
    </row>
    <row r="19" spans="2:26" ht="15" thickBot="1" x14ac:dyDescent="0.35">
      <c r="B19" s="174">
        <v>44682</v>
      </c>
      <c r="C19" s="227">
        <v>495.66</v>
      </c>
      <c r="D19" s="172">
        <f t="shared" si="0"/>
        <v>-0.10149551345962105</v>
      </c>
      <c r="F19" s="193">
        <v>16584.55</v>
      </c>
      <c r="G19" s="172">
        <f t="shared" si="1"/>
        <v>-3.0287881046978327E-2</v>
      </c>
      <c r="L19" s="224" t="s">
        <v>51</v>
      </c>
      <c r="M19" s="224">
        <v>60</v>
      </c>
      <c r="N19"/>
      <c r="O19"/>
      <c r="P19"/>
      <c r="Q19"/>
      <c r="R19"/>
      <c r="S19"/>
      <c r="T19"/>
      <c r="V19" s="188"/>
      <c r="Y19" s="188"/>
    </row>
    <row r="20" spans="2:26" x14ac:dyDescent="0.3">
      <c r="B20" s="174">
        <v>44713</v>
      </c>
      <c r="C20" s="227">
        <v>474.58</v>
      </c>
      <c r="D20" s="172">
        <f t="shared" si="0"/>
        <v>-4.2529153048460722E-2</v>
      </c>
      <c r="F20" s="193">
        <v>15780.25</v>
      </c>
      <c r="G20" s="172">
        <f t="shared" si="1"/>
        <v>-4.8496944445281853E-2</v>
      </c>
      <c r="L20"/>
      <c r="M20"/>
      <c r="N20"/>
      <c r="O20"/>
      <c r="P20"/>
      <c r="Q20"/>
      <c r="R20"/>
      <c r="S20"/>
      <c r="T20"/>
      <c r="V20" s="188"/>
      <c r="Y20" s="188"/>
    </row>
    <row r="21" spans="2:26" ht="15" thickBot="1" x14ac:dyDescent="0.35">
      <c r="B21" s="174">
        <v>44743</v>
      </c>
      <c r="C21" s="227">
        <v>512.30999999999995</v>
      </c>
      <c r="D21" s="172">
        <f t="shared" si="0"/>
        <v>7.9501875342407935E-2</v>
      </c>
      <c r="F21" s="193">
        <v>17158.25</v>
      </c>
      <c r="G21" s="172">
        <f t="shared" si="1"/>
        <v>8.7324345305048956E-2</v>
      </c>
      <c r="L21" t="s">
        <v>52</v>
      </c>
      <c r="M21"/>
      <c r="N21"/>
      <c r="O21"/>
      <c r="P21"/>
      <c r="Q21"/>
      <c r="R21"/>
      <c r="S21"/>
      <c r="T21"/>
      <c r="V21" s="188"/>
      <c r="Y21" s="188"/>
    </row>
    <row r="22" spans="2:26" x14ac:dyDescent="0.3">
      <c r="B22" s="174">
        <v>44774</v>
      </c>
      <c r="C22" s="227">
        <v>552.28</v>
      </c>
      <c r="D22" s="172">
        <f t="shared" si="0"/>
        <v>7.8019168081825629E-2</v>
      </c>
      <c r="F22" s="193">
        <v>17759.3</v>
      </c>
      <c r="G22" s="172">
        <f t="shared" si="1"/>
        <v>3.5029796162195925E-2</v>
      </c>
      <c r="L22" s="225"/>
      <c r="M22" s="225" t="s">
        <v>53</v>
      </c>
      <c r="N22" s="225" t="s">
        <v>54</v>
      </c>
      <c r="O22" s="225" t="s">
        <v>55</v>
      </c>
      <c r="P22" s="225" t="s">
        <v>56</v>
      </c>
      <c r="Q22" s="225" t="s">
        <v>57</v>
      </c>
      <c r="R22"/>
      <c r="S22"/>
      <c r="T22"/>
      <c r="V22" s="188"/>
      <c r="Y22" s="188"/>
    </row>
    <row r="23" spans="2:26" x14ac:dyDescent="0.3">
      <c r="B23" s="174">
        <v>44805</v>
      </c>
      <c r="C23" s="227">
        <v>607.41999999999996</v>
      </c>
      <c r="D23" s="172">
        <f t="shared" si="0"/>
        <v>9.9840660534511461E-2</v>
      </c>
      <c r="F23" s="193">
        <v>17094.349999999999</v>
      </c>
      <c r="G23" s="172">
        <f t="shared" si="1"/>
        <v>-3.7442354146841383E-2</v>
      </c>
      <c r="L23" t="s">
        <v>58</v>
      </c>
      <c r="M23">
        <v>1</v>
      </c>
      <c r="N23">
        <v>9.7365540812138995E-2</v>
      </c>
      <c r="O23">
        <v>9.7365540812138995E-2</v>
      </c>
      <c r="P23">
        <v>4.7029280720986657</v>
      </c>
      <c r="Q23">
        <v>3.4225209136781051E-2</v>
      </c>
      <c r="R23"/>
      <c r="S23"/>
      <c r="T23"/>
      <c r="V23" s="188"/>
      <c r="Y23" s="188"/>
    </row>
    <row r="24" spans="2:26" x14ac:dyDescent="0.3">
      <c r="B24" s="174">
        <v>44835</v>
      </c>
      <c r="C24" s="227">
        <v>477.05</v>
      </c>
      <c r="D24" s="172">
        <f t="shared" si="0"/>
        <v>-0.21462908695795324</v>
      </c>
      <c r="F24" s="193">
        <v>18012.2</v>
      </c>
      <c r="G24" s="172">
        <f t="shared" si="1"/>
        <v>5.3693179325332796E-2</v>
      </c>
      <c r="L24" t="s">
        <v>59</v>
      </c>
      <c r="M24">
        <v>58</v>
      </c>
      <c r="N24">
        <v>1.2007841243857293</v>
      </c>
      <c r="O24">
        <v>2.0703174558374643E-2</v>
      </c>
      <c r="P24"/>
      <c r="Q24"/>
      <c r="R24"/>
      <c r="S24"/>
      <c r="T24"/>
      <c r="V24" s="188"/>
      <c r="Y24" s="188"/>
    </row>
    <row r="25" spans="2:26" ht="15" thickBot="1" x14ac:dyDescent="0.35">
      <c r="B25" s="174">
        <v>44866</v>
      </c>
      <c r="C25" s="227">
        <v>499.08</v>
      </c>
      <c r="D25" s="172">
        <f t="shared" si="0"/>
        <v>4.6179645739440334E-2</v>
      </c>
      <c r="F25" s="193">
        <v>18758.349999999999</v>
      </c>
      <c r="G25" s="172">
        <f t="shared" si="1"/>
        <v>4.1424701035964295E-2</v>
      </c>
      <c r="L25" s="224" t="s">
        <v>60</v>
      </c>
      <c r="M25" s="224">
        <v>59</v>
      </c>
      <c r="N25" s="224">
        <v>1.2981496651978683</v>
      </c>
      <c r="O25" s="224"/>
      <c r="P25" s="224"/>
      <c r="Q25" s="224"/>
      <c r="R25"/>
      <c r="S25"/>
      <c r="T25"/>
      <c r="V25" s="188"/>
      <c r="Y25" s="188"/>
    </row>
    <row r="26" spans="2:26" ht="15" thickBot="1" x14ac:dyDescent="0.35">
      <c r="B26" s="174">
        <v>44896</v>
      </c>
      <c r="C26" s="227">
        <v>535.19000000000005</v>
      </c>
      <c r="D26" s="172">
        <f t="shared" si="0"/>
        <v>7.2353129758756296E-2</v>
      </c>
      <c r="F26" s="193">
        <v>18105.3</v>
      </c>
      <c r="G26" s="172">
        <f t="shared" si="1"/>
        <v>-3.4813829574562805E-2</v>
      </c>
      <c r="L26"/>
      <c r="M26"/>
      <c r="N26"/>
      <c r="O26"/>
      <c r="P26"/>
      <c r="Q26"/>
      <c r="R26"/>
      <c r="S26"/>
      <c r="T26"/>
      <c r="V26" s="188"/>
      <c r="Y26" s="188"/>
    </row>
    <row r="27" spans="2:26" x14ac:dyDescent="0.3">
      <c r="B27" s="174">
        <v>44927</v>
      </c>
      <c r="C27" s="227">
        <v>519.1</v>
      </c>
      <c r="D27" s="172">
        <f t="shared" si="0"/>
        <v>-3.0064089388815218E-2</v>
      </c>
      <c r="F27" s="193">
        <v>17662.150000000001</v>
      </c>
      <c r="G27" s="172">
        <f t="shared" si="1"/>
        <v>-2.4476258333195111E-2</v>
      </c>
      <c r="L27" s="225"/>
      <c r="M27" s="225" t="s">
        <v>61</v>
      </c>
      <c r="N27" s="225" t="s">
        <v>50</v>
      </c>
      <c r="O27" s="225" t="s">
        <v>62</v>
      </c>
      <c r="P27" s="225" t="s">
        <v>63</v>
      </c>
      <c r="Q27" s="225" t="s">
        <v>64</v>
      </c>
      <c r="R27" s="225" t="s">
        <v>65</v>
      </c>
      <c r="S27" s="225" t="s">
        <v>66</v>
      </c>
      <c r="T27" s="225" t="s">
        <v>67</v>
      </c>
      <c r="V27" s="188"/>
      <c r="Y27" s="188"/>
    </row>
    <row r="28" spans="2:26" x14ac:dyDescent="0.3">
      <c r="B28" s="174">
        <v>44958</v>
      </c>
      <c r="C28" s="227">
        <v>488.95</v>
      </c>
      <c r="D28" s="172">
        <f t="shared" si="0"/>
        <v>-5.8081294548256612E-2</v>
      </c>
      <c r="F28" s="193">
        <v>17303.95</v>
      </c>
      <c r="G28" s="172">
        <f t="shared" si="1"/>
        <v>-2.0280656658447582E-2</v>
      </c>
      <c r="L28" t="s">
        <v>68</v>
      </c>
      <c r="M28">
        <v>4.0211089004890892E-2</v>
      </c>
      <c r="N28">
        <v>1.8911155827802575E-2</v>
      </c>
      <c r="O28">
        <v>2.1263157773663859</v>
      </c>
      <c r="P28">
        <v>3.7744042686330075E-2</v>
      </c>
      <c r="Q28">
        <v>2.3562977389834164E-3</v>
      </c>
      <c r="R28">
        <v>7.806588027079836E-2</v>
      </c>
      <c r="S28">
        <v>2.3562977389834164E-3</v>
      </c>
      <c r="T28">
        <v>7.806588027079836E-2</v>
      </c>
      <c r="V28" s="188"/>
      <c r="Y28" s="188"/>
    </row>
    <row r="29" spans="2:26" ht="15" thickBot="1" x14ac:dyDescent="0.35">
      <c r="B29" s="174">
        <v>44986</v>
      </c>
      <c r="C29" s="227">
        <v>494.2</v>
      </c>
      <c r="D29" s="172">
        <f t="shared" si="0"/>
        <v>1.0737294201861092E-2</v>
      </c>
      <c r="F29" s="193">
        <v>17359.75</v>
      </c>
      <c r="G29" s="172">
        <f t="shared" si="1"/>
        <v>3.2246972512055549E-3</v>
      </c>
      <c r="L29" s="224" t="s">
        <v>69</v>
      </c>
      <c r="M29" s="224">
        <v>1.0684007248404475</v>
      </c>
      <c r="N29" s="224">
        <v>0.49266306648432756</v>
      </c>
      <c r="O29" s="224">
        <v>2.1686235431947791</v>
      </c>
      <c r="P29" s="224">
        <v>3.4225209136780739E-2</v>
      </c>
      <c r="Q29" s="224">
        <v>8.2228450866162595E-2</v>
      </c>
      <c r="R29" s="224">
        <v>2.0545729988147325</v>
      </c>
      <c r="S29" s="224">
        <v>8.2228450866162595E-2</v>
      </c>
      <c r="T29" s="224">
        <v>2.0545729988147325</v>
      </c>
      <c r="V29" s="188"/>
      <c r="Y29" s="188"/>
    </row>
    <row r="30" spans="2:26" x14ac:dyDescent="0.3">
      <c r="B30" s="174">
        <v>45017</v>
      </c>
      <c r="C30" s="227">
        <v>509.91</v>
      </c>
      <c r="D30" s="172">
        <f t="shared" si="0"/>
        <v>3.1788749494132018E-2</v>
      </c>
      <c r="F30" s="193">
        <v>18065</v>
      </c>
      <c r="G30" s="172">
        <f t="shared" si="1"/>
        <v>4.0625585045867663E-2</v>
      </c>
      <c r="L30"/>
      <c r="M30"/>
      <c r="N30"/>
      <c r="O30"/>
      <c r="P30"/>
      <c r="Q30"/>
      <c r="R30"/>
      <c r="S30"/>
      <c r="T30"/>
      <c r="V30" s="188"/>
      <c r="Y30" s="188"/>
    </row>
    <row r="31" spans="2:26" x14ac:dyDescent="0.3">
      <c r="B31" s="174">
        <v>45047</v>
      </c>
      <c r="C31" s="227">
        <v>666.2</v>
      </c>
      <c r="D31" s="172">
        <f t="shared" si="0"/>
        <v>0.30650506952207257</v>
      </c>
      <c r="F31" s="193">
        <v>18534.400000000001</v>
      </c>
      <c r="G31" s="172">
        <f t="shared" si="1"/>
        <v>2.5983946858566309E-2</v>
      </c>
      <c r="L31"/>
      <c r="M31"/>
      <c r="N31"/>
      <c r="O31"/>
      <c r="P31"/>
      <c r="Q31"/>
      <c r="R31"/>
      <c r="S31"/>
      <c r="T31"/>
      <c r="V31" s="188"/>
      <c r="Y31" s="188"/>
    </row>
    <row r="32" spans="2:26" x14ac:dyDescent="0.3">
      <c r="B32" s="174">
        <v>45078</v>
      </c>
      <c r="C32" s="227">
        <v>746.91</v>
      </c>
      <c r="D32" s="172">
        <f t="shared" si="0"/>
        <v>0.12114980486340432</v>
      </c>
      <c r="F32" s="193">
        <v>19189.05</v>
      </c>
      <c r="G32" s="172">
        <f t="shared" si="1"/>
        <v>3.5320808874309328E-2</v>
      </c>
      <c r="L32"/>
      <c r="M32"/>
      <c r="N32"/>
      <c r="O32"/>
      <c r="P32"/>
      <c r="Q32"/>
      <c r="R32"/>
      <c r="S32"/>
      <c r="T32"/>
      <c r="V32" s="188"/>
      <c r="Y32" s="188"/>
      <c r="Z32" s="185"/>
    </row>
    <row r="33" spans="2:26" x14ac:dyDescent="0.3">
      <c r="B33" s="174">
        <v>45108</v>
      </c>
      <c r="C33" s="223">
        <v>1253.9100000000001</v>
      </c>
      <c r="D33" s="172">
        <f t="shared" si="0"/>
        <v>0.678796642165723</v>
      </c>
      <c r="F33" s="193">
        <v>19753.8</v>
      </c>
      <c r="G33" s="172">
        <f t="shared" si="1"/>
        <v>2.9430847280089489E-2</v>
      </c>
      <c r="V33" s="188"/>
      <c r="Y33" s="188"/>
      <c r="Z33" s="185"/>
    </row>
    <row r="34" spans="2:26" x14ac:dyDescent="0.3">
      <c r="B34" s="174">
        <v>45139</v>
      </c>
      <c r="C34" s="223">
        <v>1221.83</v>
      </c>
      <c r="D34" s="172">
        <f t="shared" si="0"/>
        <v>-2.5583973331419485E-2</v>
      </c>
      <c r="F34" s="193">
        <v>19253.8</v>
      </c>
      <c r="G34" s="172">
        <f t="shared" si="1"/>
        <v>-2.5311585618969512E-2</v>
      </c>
      <c r="V34" s="188"/>
      <c r="Y34" s="188"/>
      <c r="Z34" s="185"/>
    </row>
    <row r="35" spans="2:26" x14ac:dyDescent="0.3">
      <c r="B35" s="174">
        <v>45170</v>
      </c>
      <c r="C35" s="223">
        <v>1221.3800000000001</v>
      </c>
      <c r="D35" s="172">
        <f t="shared" si="0"/>
        <v>-3.6830000900278659E-4</v>
      </c>
      <c r="F35" s="193">
        <v>19638.3</v>
      </c>
      <c r="G35" s="172">
        <f t="shared" si="1"/>
        <v>1.9970083827608009E-2</v>
      </c>
      <c r="V35" s="188"/>
      <c r="Y35" s="188"/>
      <c r="Z35" s="185"/>
    </row>
    <row r="36" spans="2:26" x14ac:dyDescent="0.3">
      <c r="B36" s="174">
        <v>45200</v>
      </c>
      <c r="C36" s="223">
        <v>1412.32</v>
      </c>
      <c r="D36" s="172">
        <f t="shared" si="0"/>
        <v>0.1563313628846057</v>
      </c>
      <c r="F36" s="193">
        <v>19079.599999999999</v>
      </c>
      <c r="G36" s="172">
        <f t="shared" si="1"/>
        <v>-2.844950937708457E-2</v>
      </c>
      <c r="V36" s="188"/>
      <c r="Y36" s="188"/>
      <c r="Z36" s="185"/>
    </row>
    <row r="37" spans="2:26" x14ac:dyDescent="0.3">
      <c r="B37" s="174">
        <v>45231</v>
      </c>
      <c r="C37" s="223">
        <v>1359.99</v>
      </c>
      <c r="D37" s="172">
        <f t="shared" si="0"/>
        <v>-3.7052509346323759E-2</v>
      </c>
      <c r="F37" s="193">
        <v>20133.150000000001</v>
      </c>
      <c r="G37" s="172">
        <f t="shared" si="1"/>
        <v>5.5218662865049728E-2</v>
      </c>
      <c r="V37" s="188"/>
      <c r="W37" s="185"/>
      <c r="Y37" s="188"/>
      <c r="Z37" s="185"/>
    </row>
    <row r="38" spans="2:26" x14ac:dyDescent="0.3">
      <c r="B38" s="174">
        <v>45261</v>
      </c>
      <c r="C38" s="223">
        <v>1472.34</v>
      </c>
      <c r="D38" s="172">
        <f t="shared" si="0"/>
        <v>8.2610901550746574E-2</v>
      </c>
      <c r="F38" s="193">
        <v>21731.4</v>
      </c>
      <c r="G38" s="172">
        <f t="shared" si="1"/>
        <v>7.9384001013254268E-2</v>
      </c>
      <c r="V38" s="188"/>
      <c r="Y38" s="188"/>
      <c r="Z38" s="185"/>
    </row>
    <row r="39" spans="2:26" x14ac:dyDescent="0.3">
      <c r="B39" s="174">
        <v>45292</v>
      </c>
      <c r="C39" s="223">
        <v>1337.88</v>
      </c>
      <c r="D39" s="172">
        <f t="shared" si="0"/>
        <v>-9.1324014833530143E-2</v>
      </c>
      <c r="F39" s="193">
        <v>21725.7</v>
      </c>
      <c r="G39" s="172">
        <f t="shared" si="1"/>
        <v>-2.6229327148741266E-4</v>
      </c>
      <c r="V39" s="188"/>
      <c r="W39" s="185"/>
      <c r="Y39" s="188"/>
      <c r="Z39" s="185"/>
    </row>
    <row r="40" spans="2:26" x14ac:dyDescent="0.3">
      <c r="B40" s="174">
        <v>45323</v>
      </c>
      <c r="C40" s="223">
        <v>1352.15</v>
      </c>
      <c r="D40" s="172">
        <f t="shared" ref="D40:D67" si="2">C40/C39-1</f>
        <v>1.0666128501808814E-2</v>
      </c>
      <c r="F40" s="193">
        <v>21982.799999999999</v>
      </c>
      <c r="G40" s="172">
        <f t="shared" si="1"/>
        <v>1.1833910990209695E-2</v>
      </c>
      <c r="V40" s="188"/>
      <c r="W40" s="185"/>
      <c r="Y40" s="188"/>
      <c r="Z40" s="185"/>
    </row>
    <row r="41" spans="2:26" x14ac:dyDescent="0.3">
      <c r="B41" s="174">
        <v>45352</v>
      </c>
      <c r="C41" s="223">
        <v>1275.05</v>
      </c>
      <c r="D41" s="172">
        <f t="shared" si="2"/>
        <v>-5.7020301002107865E-2</v>
      </c>
      <c r="F41" s="193">
        <v>22326.9</v>
      </c>
      <c r="G41" s="172">
        <f t="shared" si="1"/>
        <v>1.5653147005840973E-2</v>
      </c>
      <c r="V41" s="188"/>
      <c r="W41" s="185"/>
      <c r="Y41" s="188"/>
      <c r="Z41" s="185"/>
    </row>
    <row r="42" spans="2:26" x14ac:dyDescent="0.3">
      <c r="B42" s="174">
        <v>45383</v>
      </c>
      <c r="C42" s="223">
        <v>1302.1300000000001</v>
      </c>
      <c r="D42" s="172">
        <f t="shared" si="2"/>
        <v>2.123838280851742E-2</v>
      </c>
      <c r="F42" s="193">
        <v>22604.85</v>
      </c>
      <c r="G42" s="172">
        <f t="shared" si="1"/>
        <v>1.2449108474530624E-2</v>
      </c>
      <c r="V42" s="188"/>
      <c r="W42" s="185"/>
      <c r="Y42" s="188"/>
      <c r="Z42" s="185"/>
    </row>
    <row r="43" spans="2:26" x14ac:dyDescent="0.3">
      <c r="B43" s="174">
        <v>45413</v>
      </c>
      <c r="C43" s="223">
        <v>1227.1300000000001</v>
      </c>
      <c r="D43" s="172">
        <f t="shared" si="2"/>
        <v>-5.7597935689984836E-2</v>
      </c>
      <c r="F43" s="193">
        <v>22530.7</v>
      </c>
      <c r="G43" s="172">
        <f t="shared" si="1"/>
        <v>-3.2802694996869608E-3</v>
      </c>
      <c r="V43" s="188"/>
      <c r="W43" s="185"/>
      <c r="Y43" s="188"/>
      <c r="Z43" s="185"/>
    </row>
    <row r="44" spans="2:26" x14ac:dyDescent="0.3">
      <c r="B44" s="174">
        <v>45444</v>
      </c>
      <c r="C44" s="223">
        <v>1703.71</v>
      </c>
      <c r="D44" s="172">
        <f t="shared" si="2"/>
        <v>0.3883696103917269</v>
      </c>
      <c r="F44" s="193">
        <v>24010.6</v>
      </c>
      <c r="G44" s="172">
        <f t="shared" si="1"/>
        <v>6.5683711558007341E-2</v>
      </c>
      <c r="V44" s="188"/>
      <c r="W44" s="185"/>
      <c r="Y44" s="188"/>
      <c r="Z44" s="185"/>
    </row>
    <row r="45" spans="2:26" x14ac:dyDescent="0.3">
      <c r="B45" s="174">
        <v>45474</v>
      </c>
      <c r="C45" s="223">
        <v>1784.6</v>
      </c>
      <c r="D45" s="172">
        <f t="shared" si="2"/>
        <v>4.7478737578578345E-2</v>
      </c>
      <c r="F45" s="193">
        <v>24951.15</v>
      </c>
      <c r="G45" s="172">
        <f t="shared" si="1"/>
        <v>3.917228224200997E-2</v>
      </c>
      <c r="V45" s="188"/>
      <c r="W45" s="185"/>
      <c r="Y45" s="188"/>
      <c r="Z45" s="185"/>
    </row>
    <row r="46" spans="2:26" x14ac:dyDescent="0.3">
      <c r="B46" s="174">
        <v>45505</v>
      </c>
      <c r="C46" s="223">
        <v>2022.44</v>
      </c>
      <c r="D46" s="172">
        <f t="shared" si="2"/>
        <v>0.13327356270312674</v>
      </c>
      <c r="F46" s="193">
        <v>25235.9</v>
      </c>
      <c r="G46" s="172">
        <f t="shared" si="1"/>
        <v>1.141229963348378E-2</v>
      </c>
      <c r="V46" s="188"/>
      <c r="Y46" s="188"/>
      <c r="Z46" s="185"/>
    </row>
    <row r="47" spans="2:26" x14ac:dyDescent="0.3">
      <c r="B47" s="174">
        <v>45536</v>
      </c>
      <c r="C47" s="223">
        <v>2442.1</v>
      </c>
      <c r="D47" s="172">
        <f t="shared" si="2"/>
        <v>0.20750182947330931</v>
      </c>
      <c r="F47" s="193">
        <v>25810.85</v>
      </c>
      <c r="G47" s="172">
        <f t="shared" si="1"/>
        <v>2.2783019428670892E-2</v>
      </c>
      <c r="V47" s="188"/>
      <c r="W47" s="185"/>
      <c r="Y47" s="188"/>
      <c r="Z47" s="185"/>
    </row>
    <row r="48" spans="2:26" x14ac:dyDescent="0.3">
      <c r="B48" s="174">
        <v>45566</v>
      </c>
      <c r="C48" s="223">
        <v>2270.14</v>
      </c>
      <c r="D48" s="172">
        <f t="shared" si="2"/>
        <v>-7.0414806928463247E-2</v>
      </c>
      <c r="F48" s="193">
        <v>24205.35</v>
      </c>
      <c r="G48" s="172">
        <f t="shared" si="1"/>
        <v>-6.2202523357425266E-2</v>
      </c>
      <c r="V48" s="188"/>
      <c r="W48" s="185"/>
      <c r="Y48" s="188"/>
      <c r="Z48" s="185"/>
    </row>
    <row r="49" spans="2:26" x14ac:dyDescent="0.3">
      <c r="B49" s="174">
        <v>45597</v>
      </c>
      <c r="C49" s="223">
        <v>1968.4</v>
      </c>
      <c r="D49" s="172">
        <f t="shared" si="2"/>
        <v>-0.13291691261331895</v>
      </c>
      <c r="F49" s="193">
        <v>24131.1</v>
      </c>
      <c r="G49" s="172">
        <f t="shared" si="1"/>
        <v>-3.0675036717089377E-3</v>
      </c>
      <c r="V49" s="188"/>
      <c r="W49" s="185"/>
      <c r="Y49" s="188"/>
      <c r="Z49" s="185"/>
    </row>
    <row r="50" spans="2:26" x14ac:dyDescent="0.3">
      <c r="B50" s="174">
        <v>45627</v>
      </c>
      <c r="C50" s="223">
        <v>1948.68</v>
      </c>
      <c r="D50" s="172">
        <f t="shared" si="2"/>
        <v>-1.0018288965657374E-2</v>
      </c>
      <c r="F50" s="193">
        <v>23644.799999999999</v>
      </c>
      <c r="G50" s="172">
        <f t="shared" si="1"/>
        <v>-2.0152417419844082E-2</v>
      </c>
      <c r="V50" s="188"/>
      <c r="W50" s="185"/>
      <c r="Y50" s="188"/>
      <c r="Z50" s="185"/>
    </row>
    <row r="51" spans="2:26" x14ac:dyDescent="0.3">
      <c r="B51" s="174">
        <v>45658</v>
      </c>
      <c r="C51" s="223">
        <v>1811.39</v>
      </c>
      <c r="D51" s="172">
        <f t="shared" si="2"/>
        <v>-7.0452819344376638E-2</v>
      </c>
      <c r="F51" s="193">
        <v>23508.400000000001</v>
      </c>
      <c r="G51" s="172">
        <f t="shared" si="1"/>
        <v>-5.7687102449586192E-3</v>
      </c>
      <c r="V51" s="188"/>
      <c r="W51" s="185"/>
      <c r="Y51" s="188"/>
      <c r="Z51" s="185"/>
    </row>
    <row r="52" spans="2:26" x14ac:dyDescent="0.3">
      <c r="B52" s="174">
        <v>45689</v>
      </c>
      <c r="C52" s="223">
        <v>1875.92</v>
      </c>
      <c r="D52" s="172">
        <f t="shared" si="2"/>
        <v>3.5624575602161812E-2</v>
      </c>
      <c r="F52" s="193">
        <v>22124.7</v>
      </c>
      <c r="G52" s="172">
        <f t="shared" si="1"/>
        <v>-5.8859811811948104E-2</v>
      </c>
      <c r="V52" s="188"/>
      <c r="Y52" s="188"/>
      <c r="Z52" s="185"/>
    </row>
    <row r="53" spans="2:26" x14ac:dyDescent="0.3">
      <c r="B53" s="174">
        <v>45717</v>
      </c>
      <c r="C53" s="223">
        <v>1995.32</v>
      </c>
      <c r="D53" s="172">
        <f t="shared" si="2"/>
        <v>6.3648769670348271E-2</v>
      </c>
      <c r="F53" s="193">
        <v>23519.35</v>
      </c>
      <c r="G53" s="172">
        <f t="shared" si="1"/>
        <v>6.3035882972424462E-2</v>
      </c>
      <c r="V53" s="188"/>
      <c r="W53" s="185"/>
      <c r="Y53" s="188"/>
      <c r="Z53" s="185"/>
    </row>
    <row r="54" spans="2:26" x14ac:dyDescent="0.3">
      <c r="B54" s="174">
        <v>45748</v>
      </c>
      <c r="C54" s="223">
        <v>2082.64</v>
      </c>
      <c r="D54" s="172">
        <f t="shared" si="2"/>
        <v>4.3762404025419421E-2</v>
      </c>
      <c r="F54" s="193">
        <v>24334.2</v>
      </c>
      <c r="G54" s="172">
        <f t="shared" si="1"/>
        <v>3.4645940470293679E-2</v>
      </c>
      <c r="V54" s="188"/>
      <c r="W54" s="185"/>
      <c r="Y54" s="188"/>
      <c r="Z54" s="185"/>
    </row>
    <row r="55" spans="2:26" x14ac:dyDescent="0.3">
      <c r="B55" s="174">
        <v>45778</v>
      </c>
      <c r="C55" s="223">
        <v>1915.15</v>
      </c>
      <c r="D55" s="172">
        <f t="shared" si="2"/>
        <v>-8.0421964429762127E-2</v>
      </c>
      <c r="F55" s="193">
        <v>24750.7</v>
      </c>
      <c r="G55" s="172">
        <f t="shared" si="1"/>
        <v>1.7115828751304685E-2</v>
      </c>
      <c r="V55" s="188"/>
      <c r="W55" s="185"/>
      <c r="Y55" s="188"/>
      <c r="Z55" s="185"/>
    </row>
    <row r="56" spans="2:26" x14ac:dyDescent="0.3">
      <c r="B56" s="174">
        <v>45809</v>
      </c>
      <c r="C56" s="223">
        <v>1849.89</v>
      </c>
      <c r="D56" s="172">
        <f t="shared" si="2"/>
        <v>-3.4075659869984065E-2</v>
      </c>
      <c r="F56" s="193">
        <v>25517.05</v>
      </c>
      <c r="G56" s="172">
        <f t="shared" si="1"/>
        <v>3.0962760649193788E-2</v>
      </c>
      <c r="V56" s="188"/>
      <c r="W56" s="185"/>
      <c r="Y56" s="188"/>
      <c r="Z56" s="185"/>
    </row>
    <row r="57" spans="2:26" x14ac:dyDescent="0.3">
      <c r="B57" s="174">
        <v>45839</v>
      </c>
      <c r="C57" s="223">
        <v>1878.1</v>
      </c>
      <c r="D57" s="172">
        <f t="shared" si="2"/>
        <v>1.5249555378968438E-2</v>
      </c>
      <c r="F57" s="193">
        <v>24768.35</v>
      </c>
      <c r="G57" s="172">
        <f t="shared" si="1"/>
        <v>-2.9341166004691055E-2</v>
      </c>
      <c r="V57" s="188"/>
      <c r="W57" s="185"/>
      <c r="Y57" s="188"/>
      <c r="Z57" s="185"/>
    </row>
    <row r="58" spans="2:26" x14ac:dyDescent="0.3">
      <c r="B58" s="174">
        <v>45870</v>
      </c>
      <c r="C58" s="223">
        <v>2255.4</v>
      </c>
      <c r="D58" s="172">
        <f t="shared" si="2"/>
        <v>0.20089452105851668</v>
      </c>
      <c r="F58" s="193">
        <v>24426.85</v>
      </c>
      <c r="G58" s="172">
        <f t="shared" si="1"/>
        <v>-1.3787757359694952E-2</v>
      </c>
      <c r="V58" s="188"/>
      <c r="W58" s="185"/>
      <c r="Y58" s="188"/>
      <c r="Z58" s="185"/>
    </row>
    <row r="59" spans="2:26" x14ac:dyDescent="0.3">
      <c r="B59" s="174">
        <v>45901</v>
      </c>
      <c r="C59" s="223">
        <v>2013.5</v>
      </c>
      <c r="D59" s="172">
        <f t="shared" si="2"/>
        <v>-0.10725370222576935</v>
      </c>
      <c r="F59" s="193">
        <v>24611.1</v>
      </c>
      <c r="G59" s="172">
        <f t="shared" si="1"/>
        <v>7.5429291947182175E-3</v>
      </c>
      <c r="V59" s="188"/>
      <c r="W59" s="185"/>
      <c r="Y59" s="188"/>
      <c r="Z59" s="185"/>
    </row>
    <row r="60" spans="2:26" x14ac:dyDescent="0.3">
      <c r="B60" s="174">
        <v>45931</v>
      </c>
      <c r="C60" s="223">
        <v>2169.6</v>
      </c>
      <c r="D60" s="172">
        <f t="shared" si="2"/>
        <v>7.752669481003216E-2</v>
      </c>
      <c r="F60" s="193">
        <v>25722.1</v>
      </c>
      <c r="G60" s="172">
        <f t="shared" si="1"/>
        <v>4.5142232569856722E-2</v>
      </c>
      <c r="V60" s="188"/>
      <c r="W60" s="185"/>
      <c r="Y60" s="188"/>
      <c r="Z60" s="185"/>
    </row>
    <row r="61" spans="2:26" x14ac:dyDescent="0.3">
      <c r="B61" s="174">
        <v>45962</v>
      </c>
      <c r="C61" s="223">
        <v>3254</v>
      </c>
      <c r="D61" s="172">
        <f t="shared" si="2"/>
        <v>0.49981563421828912</v>
      </c>
      <c r="F61" s="193">
        <v>26202.95</v>
      </c>
      <c r="G61" s="172">
        <f t="shared" si="1"/>
        <v>1.8694041310779452E-2</v>
      </c>
      <c r="V61" s="188"/>
      <c r="W61" s="185"/>
      <c r="Y61" s="188"/>
      <c r="Z61" s="185"/>
    </row>
    <row r="62" spans="2:26" x14ac:dyDescent="0.3">
      <c r="B62" s="174">
        <v>45992</v>
      </c>
      <c r="C62" s="223">
        <v>3222.1</v>
      </c>
      <c r="D62" s="172">
        <f t="shared" si="2"/>
        <v>-9.8033189920098129E-3</v>
      </c>
      <c r="F62" s="193">
        <v>26129.599999999999</v>
      </c>
      <c r="G62" s="172">
        <f t="shared" si="1"/>
        <v>-2.7993031318993555E-3</v>
      </c>
      <c r="V62" s="188"/>
      <c r="W62" s="185"/>
      <c r="Y62" s="188"/>
      <c r="Z62" s="185"/>
    </row>
    <row r="63" spans="2:26" x14ac:dyDescent="0.3">
      <c r="B63" s="174">
        <v>46023</v>
      </c>
      <c r="C63" s="223">
        <v>3320.6</v>
      </c>
      <c r="D63" s="172">
        <f t="shared" si="2"/>
        <v>3.0570125073709598E-2</v>
      </c>
      <c r="F63" s="193">
        <v>25320.65</v>
      </c>
      <c r="G63" s="172">
        <f t="shared" si="1"/>
        <v>-3.0959142122343852E-2</v>
      </c>
      <c r="V63" s="188"/>
      <c r="W63" s="185"/>
      <c r="Y63" s="188"/>
      <c r="Z63" s="185"/>
    </row>
    <row r="64" spans="2:26" x14ac:dyDescent="0.3">
      <c r="B64" s="174">
        <v>46054</v>
      </c>
      <c r="C64" s="223">
        <v>3959.2</v>
      </c>
      <c r="D64" s="172">
        <f t="shared" si="2"/>
        <v>0.19231464193218084</v>
      </c>
      <c r="F64" s="193">
        <v>25178.65</v>
      </c>
      <c r="G64" s="172">
        <f t="shared" si="1"/>
        <v>-5.6080708828565307E-3</v>
      </c>
      <c r="V64" s="188"/>
      <c r="W64" s="185"/>
      <c r="Y64" s="188"/>
      <c r="Z64" s="185"/>
    </row>
    <row r="65" spans="2:26" x14ac:dyDescent="0.3">
      <c r="B65" s="174">
        <v>46082</v>
      </c>
      <c r="C65" s="223">
        <v>3425.9</v>
      </c>
      <c r="D65" s="172">
        <f t="shared" si="2"/>
        <v>-0.1346989290765811</v>
      </c>
      <c r="F65" s="193">
        <v>22331.4</v>
      </c>
      <c r="G65" s="172">
        <f t="shared" si="1"/>
        <v>-0.11308191662380629</v>
      </c>
      <c r="V65" s="188"/>
      <c r="Y65" s="188"/>
      <c r="Z65" s="185"/>
    </row>
    <row r="66" spans="2:26" x14ac:dyDescent="0.3">
      <c r="B66" s="174">
        <v>46113</v>
      </c>
      <c r="C66" s="223">
        <v>3543.8</v>
      </c>
      <c r="D66" s="172">
        <f t="shared" si="2"/>
        <v>3.4414314486704178E-2</v>
      </c>
      <c r="F66" s="193">
        <v>22713.1</v>
      </c>
      <c r="G66" s="172">
        <f t="shared" si="1"/>
        <v>1.7092524427487543E-2</v>
      </c>
      <c r="V66" s="188"/>
      <c r="W66" s="185"/>
      <c r="Y66" s="188"/>
      <c r="Z66" s="185"/>
    </row>
    <row r="67" spans="2:26" x14ac:dyDescent="0.3">
      <c r="B67" s="174">
        <v>46118</v>
      </c>
      <c r="C67" s="223">
        <v>3752.9</v>
      </c>
      <c r="D67" s="172">
        <f t="shared" si="2"/>
        <v>5.9004458490885536E-2</v>
      </c>
      <c r="F67" s="193">
        <v>22968.25</v>
      </c>
      <c r="G67" s="172">
        <f t="shared" si="1"/>
        <v>1.123360527625028E-2</v>
      </c>
      <c r="V67" s="188"/>
      <c r="W67" s="185"/>
    </row>
    <row r="68" spans="2:26" x14ac:dyDescent="0.3">
      <c r="P68" s="188">
        <v>45931</v>
      </c>
      <c r="Q68" s="185">
        <v>2169.6</v>
      </c>
    </row>
    <row r="69" spans="2:26" x14ac:dyDescent="0.3">
      <c r="P69" s="188">
        <v>45962</v>
      </c>
      <c r="Q69" s="185">
        <v>3254</v>
      </c>
    </row>
    <row r="70" spans="2:26" x14ac:dyDescent="0.3">
      <c r="P70" s="188">
        <v>45992</v>
      </c>
      <c r="Q70" s="185">
        <v>3222.1</v>
      </c>
    </row>
    <row r="71" spans="2:26" x14ac:dyDescent="0.3">
      <c r="P71" s="188">
        <v>46023</v>
      </c>
      <c r="Q71" s="185">
        <v>3320.6</v>
      </c>
    </row>
    <row r="72" spans="2:26" x14ac:dyDescent="0.3">
      <c r="P72" s="188">
        <v>46054</v>
      </c>
      <c r="Q72" s="185">
        <v>3959.2</v>
      </c>
    </row>
    <row r="73" spans="2:26" x14ac:dyDescent="0.3">
      <c r="P73" s="188">
        <v>46082</v>
      </c>
      <c r="Q73" s="185">
        <v>3425.9</v>
      </c>
    </row>
    <row r="74" spans="2:26" x14ac:dyDescent="0.3">
      <c r="P74" s="188">
        <v>46113</v>
      </c>
      <c r="Q74" s="185">
        <v>3543.8</v>
      </c>
    </row>
    <row r="75" spans="2:26" x14ac:dyDescent="0.3">
      <c r="P75" s="188">
        <v>46118</v>
      </c>
      <c r="Q75" s="185">
        <v>3752.9</v>
      </c>
    </row>
    <row r="114" spans="2:2" x14ac:dyDescent="0.3">
      <c r="B114" s="174"/>
    </row>
    <row r="115" spans="2:2" x14ac:dyDescent="0.3">
      <c r="B115" s="174"/>
    </row>
    <row r="116" spans="2:2" x14ac:dyDescent="0.3">
      <c r="B116" s="174"/>
    </row>
    <row r="117" spans="2:2" x14ac:dyDescent="0.3">
      <c r="B117" s="174"/>
    </row>
    <row r="118" spans="2:2" x14ac:dyDescent="0.3">
      <c r="B118" s="174"/>
    </row>
  </sheetData>
  <mergeCells count="3">
    <mergeCell ref="B4:D4"/>
    <mergeCell ref="F4:G4"/>
    <mergeCell ref="I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2D52-4D34-4700-B103-A3FED765AC47}">
  <dimension ref="B2:W114"/>
  <sheetViews>
    <sheetView showGridLines="0" workbookViewId="0">
      <selection activeCell="H20" sqref="H20"/>
    </sheetView>
  </sheetViews>
  <sheetFormatPr defaultColWidth="8.88671875" defaultRowHeight="14.4" x14ac:dyDescent="0.3"/>
  <cols>
    <col min="1" max="1" width="1.88671875" style="124" customWidth="1"/>
    <col min="2" max="2" width="28.6640625" style="186" bestFit="1" customWidth="1"/>
    <col min="3" max="3" width="12" style="124" customWidth="1"/>
    <col min="4" max="4" width="7.6640625" style="124" bestFit="1" customWidth="1"/>
    <col min="5" max="5" width="8.88671875" style="124"/>
    <col min="6" max="6" width="11.5546875" style="124" bestFit="1" customWidth="1"/>
    <col min="7" max="7" width="6.6640625" style="124" bestFit="1" customWidth="1"/>
    <col min="8" max="8" width="8.88671875" style="124"/>
    <col min="9" max="9" width="17.5546875" style="124" bestFit="1" customWidth="1"/>
    <col min="10" max="10" width="7" style="124" bestFit="1" customWidth="1"/>
    <col min="11" max="11" width="8.88671875" style="124"/>
    <col min="12" max="12" width="17.44140625" style="124" bestFit="1" customWidth="1"/>
    <col min="13" max="13" width="12" style="124" bestFit="1" customWidth="1"/>
    <col min="14" max="14" width="13.44140625" style="124" bestFit="1" customWidth="1"/>
    <col min="15" max="16" width="12" style="124" bestFit="1" customWidth="1"/>
    <col min="17" max="17" width="12.6640625" style="124" bestFit="1" customWidth="1"/>
    <col min="18" max="18" width="12" style="124" bestFit="1" customWidth="1"/>
    <col min="19" max="19" width="12.6640625" style="124" bestFit="1" customWidth="1"/>
    <col min="20" max="20" width="12.109375" style="124" bestFit="1" customWidth="1"/>
    <col min="21" max="21" width="8.88671875" style="124"/>
    <col min="22" max="22" width="9.88671875" style="124" bestFit="1" customWidth="1"/>
    <col min="23" max="16384" width="8.88671875" style="124"/>
  </cols>
  <sheetData>
    <row r="2" spans="2:23" x14ac:dyDescent="0.3">
      <c r="B2" s="230" t="s">
        <v>30</v>
      </c>
    </row>
    <row r="4" spans="2:23" x14ac:dyDescent="0.3">
      <c r="B4" s="267" t="s">
        <v>77</v>
      </c>
      <c r="C4" s="267"/>
      <c r="D4" s="267"/>
      <c r="F4" s="267" t="s">
        <v>32</v>
      </c>
      <c r="G4" s="267"/>
      <c r="I4" s="267" t="s">
        <v>33</v>
      </c>
      <c r="J4" s="267"/>
      <c r="V4" s="124" t="s">
        <v>35</v>
      </c>
      <c r="W4" s="124" t="s">
        <v>72</v>
      </c>
    </row>
    <row r="5" spans="2:23" x14ac:dyDescent="0.3">
      <c r="L5" s="124" t="s">
        <v>34</v>
      </c>
      <c r="M5" s="125">
        <f>SLOPE(D8:D113,G8:G113)</f>
        <v>-0.42304575496640584</v>
      </c>
    </row>
    <row r="6" spans="2:23" x14ac:dyDescent="0.3">
      <c r="B6" s="231" t="s">
        <v>35</v>
      </c>
      <c r="C6" s="176" t="s">
        <v>74</v>
      </c>
      <c r="D6" s="176" t="s">
        <v>75</v>
      </c>
      <c r="F6" s="176" t="s">
        <v>36</v>
      </c>
      <c r="G6" s="176" t="s">
        <v>37</v>
      </c>
      <c r="I6" s="124" t="s">
        <v>38</v>
      </c>
      <c r="J6" s="125">
        <f>M7</f>
        <v>-0.42304575496640601</v>
      </c>
      <c r="L6" s="124" t="s">
        <v>39</v>
      </c>
      <c r="M6" s="125">
        <f>_xlfn.COVARIANCE.S(D7:D113,G7:G113)/_xlfn.VAR.S(G7:G113)</f>
        <v>-0.42304575496640595</v>
      </c>
    </row>
    <row r="7" spans="2:23" x14ac:dyDescent="0.3">
      <c r="B7" s="186">
        <v>45536</v>
      </c>
      <c r="C7" s="124">
        <v>749.15</v>
      </c>
      <c r="F7" s="193">
        <v>15582.8</v>
      </c>
      <c r="I7" s="124" t="s">
        <v>40</v>
      </c>
      <c r="J7" s="172">
        <v>0.75</v>
      </c>
      <c r="L7" s="124" t="s">
        <v>41</v>
      </c>
      <c r="M7" s="125">
        <f>M29</f>
        <v>-0.42304575496640601</v>
      </c>
    </row>
    <row r="8" spans="2:23" x14ac:dyDescent="0.3">
      <c r="B8" s="186">
        <v>45566</v>
      </c>
      <c r="C8" s="124">
        <v>715.6</v>
      </c>
      <c r="D8" s="172">
        <f>C8/C7-1</f>
        <v>-4.4784088633784913E-2</v>
      </c>
      <c r="F8" s="193">
        <v>15721.5</v>
      </c>
      <c r="G8" s="172">
        <f>F8/F7-1</f>
        <v>8.9008393870164682E-3</v>
      </c>
    </row>
    <row r="9" spans="2:23" x14ac:dyDescent="0.3">
      <c r="B9" s="186">
        <v>45597</v>
      </c>
      <c r="C9" s="124">
        <v>681.2</v>
      </c>
      <c r="D9" s="172">
        <f t="shared" ref="D9:D27" si="0">C9/C8-1</f>
        <v>-4.807154835103411E-2</v>
      </c>
      <c r="F9" s="193">
        <v>15763.05</v>
      </c>
      <c r="G9" s="172">
        <f t="shared" ref="G9:G27" si="1">F9/F8-1</f>
        <v>2.6428775880162902E-3</v>
      </c>
      <c r="I9" s="124" t="s">
        <v>42</v>
      </c>
      <c r="J9" s="125">
        <v>1</v>
      </c>
    </row>
    <row r="10" spans="2:23" x14ac:dyDescent="0.3">
      <c r="B10" s="186">
        <v>45627</v>
      </c>
      <c r="C10" s="124">
        <v>665.35</v>
      </c>
      <c r="D10" s="172">
        <f t="shared" si="0"/>
        <v>-2.3267762771579603E-2</v>
      </c>
      <c r="F10" s="193">
        <v>17132.2</v>
      </c>
      <c r="G10" s="172">
        <f t="shared" si="1"/>
        <v>8.6858190515160638E-2</v>
      </c>
      <c r="I10" s="124" t="s">
        <v>43</v>
      </c>
      <c r="J10" s="172">
        <v>0.25</v>
      </c>
    </row>
    <row r="11" spans="2:23" x14ac:dyDescent="0.3">
      <c r="B11" s="186">
        <v>45658</v>
      </c>
      <c r="C11" s="124">
        <v>564.79999999999995</v>
      </c>
      <c r="D11" s="172">
        <f t="shared" si="0"/>
        <v>-0.15112346885098082</v>
      </c>
      <c r="F11" s="193">
        <v>17618.150000000001</v>
      </c>
      <c r="G11" s="172">
        <f t="shared" si="1"/>
        <v>2.8364716732235173E-2</v>
      </c>
    </row>
    <row r="12" spans="2:23" x14ac:dyDescent="0.3">
      <c r="B12" s="186">
        <v>45689</v>
      </c>
      <c r="C12" s="124">
        <v>537.95000000000005</v>
      </c>
      <c r="D12" s="172">
        <f t="shared" si="0"/>
        <v>-4.7538951841359589E-2</v>
      </c>
      <c r="F12" s="193">
        <v>17671.650000000001</v>
      </c>
      <c r="G12" s="172">
        <f t="shared" si="1"/>
        <v>3.0366411910445201E-3</v>
      </c>
      <c r="I12" s="127" t="s">
        <v>44</v>
      </c>
      <c r="J12" s="175">
        <f>(J6*J7)+(J9*J10)</f>
        <v>-6.7284316224804519E-2</v>
      </c>
      <c r="L12" t="s">
        <v>45</v>
      </c>
      <c r="M12"/>
      <c r="N12"/>
      <c r="O12"/>
      <c r="P12"/>
      <c r="Q12"/>
      <c r="R12"/>
      <c r="S12"/>
      <c r="T12"/>
    </row>
    <row r="13" spans="2:23" ht="15" thickBot="1" x14ac:dyDescent="0.35">
      <c r="B13" s="186">
        <v>45717</v>
      </c>
      <c r="C13" s="124">
        <v>505.65</v>
      </c>
      <c r="D13" s="172">
        <f t="shared" si="0"/>
        <v>-6.0042754902872142E-2</v>
      </c>
      <c r="F13" s="193">
        <v>16983.2</v>
      </c>
      <c r="G13" s="172">
        <f t="shared" si="1"/>
        <v>-3.8957878862471818E-2</v>
      </c>
      <c r="L13"/>
      <c r="M13"/>
      <c r="N13"/>
      <c r="O13"/>
      <c r="P13"/>
      <c r="Q13"/>
      <c r="R13"/>
      <c r="S13"/>
      <c r="T13"/>
    </row>
    <row r="14" spans="2:23" x14ac:dyDescent="0.3">
      <c r="B14" s="186">
        <v>45748</v>
      </c>
      <c r="C14" s="124">
        <v>511</v>
      </c>
      <c r="D14" s="172">
        <f t="shared" si="0"/>
        <v>1.0580441016513342E-2</v>
      </c>
      <c r="F14" s="193">
        <v>17354.05</v>
      </c>
      <c r="G14" s="172">
        <f t="shared" si="1"/>
        <v>2.1836285270149247E-2</v>
      </c>
      <c r="L14" s="226" t="s">
        <v>46</v>
      </c>
      <c r="M14" s="226"/>
      <c r="N14"/>
      <c r="O14"/>
      <c r="P14"/>
      <c r="Q14"/>
      <c r="R14"/>
      <c r="S14"/>
      <c r="T14"/>
    </row>
    <row r="15" spans="2:23" x14ac:dyDescent="0.3">
      <c r="B15" s="186">
        <v>45778</v>
      </c>
      <c r="C15" s="124">
        <v>548.5</v>
      </c>
      <c r="D15" s="172">
        <f t="shared" si="0"/>
        <v>7.3385518590997956E-2</v>
      </c>
      <c r="F15" s="193">
        <v>17339.849999999999</v>
      </c>
      <c r="G15" s="172">
        <f t="shared" si="1"/>
        <v>-8.1825279977876253E-4</v>
      </c>
      <c r="L15" t="s">
        <v>47</v>
      </c>
      <c r="M15">
        <v>0.29463051888120689</v>
      </c>
      <c r="N15"/>
      <c r="O15"/>
      <c r="P15"/>
      <c r="Q15"/>
      <c r="R15"/>
      <c r="S15"/>
      <c r="T15"/>
    </row>
    <row r="16" spans="2:23" x14ac:dyDescent="0.3">
      <c r="B16" s="186">
        <v>45809</v>
      </c>
      <c r="C16" s="124">
        <v>580.70000000000005</v>
      </c>
      <c r="D16" s="172">
        <f t="shared" si="0"/>
        <v>5.8705560619872532E-2</v>
      </c>
      <c r="F16" s="193">
        <v>16793.900000000001</v>
      </c>
      <c r="G16" s="172">
        <f t="shared" si="1"/>
        <v>-3.1485278131010208E-2</v>
      </c>
      <c r="L16" t="s">
        <v>48</v>
      </c>
      <c r="M16">
        <v>8.6807142656209202E-2</v>
      </c>
      <c r="N16"/>
      <c r="O16"/>
      <c r="P16"/>
      <c r="Q16"/>
      <c r="R16"/>
      <c r="S16"/>
      <c r="T16"/>
    </row>
    <row r="17" spans="2:20" x14ac:dyDescent="0.3">
      <c r="B17" s="186">
        <v>45839</v>
      </c>
      <c r="C17" s="124">
        <v>584</v>
      </c>
      <c r="D17" s="172">
        <f t="shared" si="0"/>
        <v>5.6827966247632311E-3</v>
      </c>
      <c r="F17" s="193">
        <v>17464.75</v>
      </c>
      <c r="G17" s="172">
        <f t="shared" si="1"/>
        <v>3.9946051840251462E-2</v>
      </c>
      <c r="L17" t="s">
        <v>49</v>
      </c>
      <c r="M17">
        <v>3.6074206137109717E-2</v>
      </c>
      <c r="N17"/>
      <c r="O17"/>
      <c r="P17"/>
      <c r="Q17"/>
      <c r="R17"/>
      <c r="S17"/>
      <c r="T17"/>
    </row>
    <row r="18" spans="2:20" x14ac:dyDescent="0.3">
      <c r="B18" s="186">
        <v>45870</v>
      </c>
      <c r="C18" s="124">
        <v>572.15</v>
      </c>
      <c r="D18" s="172">
        <f t="shared" si="0"/>
        <v>-2.0291095890411004E-2</v>
      </c>
      <c r="F18" s="193">
        <v>17102.55</v>
      </c>
      <c r="G18" s="172">
        <f t="shared" si="1"/>
        <v>-2.0738916961307807E-2</v>
      </c>
      <c r="L18" t="s">
        <v>50</v>
      </c>
      <c r="M18">
        <v>5.820398057676774E-2</v>
      </c>
      <c r="N18"/>
      <c r="O18"/>
      <c r="P18"/>
      <c r="Q18"/>
      <c r="R18"/>
      <c r="S18"/>
      <c r="T18"/>
    </row>
    <row r="19" spans="2:20" ht="15" thickBot="1" x14ac:dyDescent="0.35">
      <c r="B19" s="186">
        <v>45901</v>
      </c>
      <c r="C19" s="124">
        <v>603.5</v>
      </c>
      <c r="D19" s="172">
        <f t="shared" si="0"/>
        <v>5.4793323429170648E-2</v>
      </c>
      <c r="F19" s="193">
        <v>16584.55</v>
      </c>
      <c r="G19" s="172">
        <f t="shared" si="1"/>
        <v>-3.0287881046978327E-2</v>
      </c>
      <c r="L19" s="224" t="s">
        <v>51</v>
      </c>
      <c r="M19" s="224">
        <v>20</v>
      </c>
      <c r="N19"/>
      <c r="O19"/>
      <c r="P19"/>
      <c r="Q19"/>
      <c r="R19"/>
      <c r="S19"/>
      <c r="T19"/>
    </row>
    <row r="20" spans="2:20" x14ac:dyDescent="0.3">
      <c r="B20" s="186">
        <v>45931</v>
      </c>
      <c r="C20" s="124">
        <v>647.70000000000005</v>
      </c>
      <c r="D20" s="172">
        <f t="shared" si="0"/>
        <v>7.3239436619718434E-2</v>
      </c>
      <c r="F20" s="193">
        <v>15780.25</v>
      </c>
      <c r="G20" s="172">
        <f t="shared" si="1"/>
        <v>-4.8496944445281853E-2</v>
      </c>
      <c r="L20"/>
      <c r="M20"/>
      <c r="N20"/>
      <c r="O20"/>
      <c r="P20"/>
      <c r="Q20"/>
      <c r="R20"/>
      <c r="S20"/>
      <c r="T20"/>
    </row>
    <row r="21" spans="2:20" ht="15" thickBot="1" x14ac:dyDescent="0.35">
      <c r="B21" s="186">
        <v>45962</v>
      </c>
      <c r="C21" s="124">
        <v>629.65</v>
      </c>
      <c r="D21" s="172">
        <f t="shared" si="0"/>
        <v>-2.7867840049405679E-2</v>
      </c>
      <c r="F21" s="193">
        <v>17158.25</v>
      </c>
      <c r="G21" s="172">
        <f t="shared" si="1"/>
        <v>8.7324345305048956E-2</v>
      </c>
      <c r="L21" t="s">
        <v>52</v>
      </c>
      <c r="M21"/>
      <c r="N21"/>
      <c r="O21"/>
      <c r="P21"/>
      <c r="Q21"/>
      <c r="R21"/>
      <c r="S21"/>
      <c r="T21"/>
    </row>
    <row r="22" spans="2:20" x14ac:dyDescent="0.3">
      <c r="B22" s="186">
        <v>45992</v>
      </c>
      <c r="C22" s="124">
        <v>607.45000000000005</v>
      </c>
      <c r="D22" s="172">
        <f t="shared" si="0"/>
        <v>-3.5257682839672677E-2</v>
      </c>
      <c r="F22" s="193">
        <v>17759.3</v>
      </c>
      <c r="G22" s="172">
        <f t="shared" si="1"/>
        <v>3.5029796162195925E-2</v>
      </c>
      <c r="L22" s="225"/>
      <c r="M22" s="225" t="s">
        <v>53</v>
      </c>
      <c r="N22" s="225" t="s">
        <v>54</v>
      </c>
      <c r="O22" s="225" t="s">
        <v>55</v>
      </c>
      <c r="P22" s="225" t="s">
        <v>56</v>
      </c>
      <c r="Q22" s="225" t="s">
        <v>57</v>
      </c>
      <c r="R22"/>
      <c r="S22"/>
      <c r="T22"/>
    </row>
    <row r="23" spans="2:20" x14ac:dyDescent="0.3">
      <c r="B23" s="186">
        <v>46023</v>
      </c>
      <c r="C23" s="124">
        <v>549.79999999999995</v>
      </c>
      <c r="D23" s="172">
        <f t="shared" si="0"/>
        <v>-9.4904930446950475E-2</v>
      </c>
      <c r="F23" s="193">
        <v>17094.349999999999</v>
      </c>
      <c r="G23" s="172">
        <f t="shared" si="1"/>
        <v>-3.7442354146841383E-2</v>
      </c>
      <c r="L23" t="s">
        <v>58</v>
      </c>
      <c r="M23">
        <v>1</v>
      </c>
      <c r="N23">
        <v>5.7965666604380683E-3</v>
      </c>
      <c r="O23">
        <v>5.7965666604380683E-3</v>
      </c>
      <c r="P23">
        <v>1.7110608731179755</v>
      </c>
      <c r="Q23">
        <v>0.20730703635887243</v>
      </c>
      <c r="R23"/>
      <c r="S23"/>
      <c r="T23"/>
    </row>
    <row r="24" spans="2:20" x14ac:dyDescent="0.3">
      <c r="B24" s="186">
        <v>46054</v>
      </c>
      <c r="C24" s="124">
        <v>552</v>
      </c>
      <c r="D24" s="172">
        <f t="shared" si="0"/>
        <v>4.001455074572613E-3</v>
      </c>
      <c r="F24" s="193">
        <v>18012.2</v>
      </c>
      <c r="G24" s="172">
        <f t="shared" si="1"/>
        <v>5.3693179325332796E-2</v>
      </c>
      <c r="L24" t="s">
        <v>59</v>
      </c>
      <c r="M24">
        <v>18</v>
      </c>
      <c r="N24">
        <v>6.0978660389653619E-2</v>
      </c>
      <c r="O24">
        <v>3.3877033549807568E-3</v>
      </c>
      <c r="P24"/>
      <c r="Q24"/>
      <c r="R24"/>
      <c r="S24"/>
      <c r="T24"/>
    </row>
    <row r="25" spans="2:20" ht="15" thickBot="1" x14ac:dyDescent="0.35">
      <c r="B25" s="186">
        <v>46082</v>
      </c>
      <c r="C25" s="124">
        <v>530.95000000000005</v>
      </c>
      <c r="D25" s="172">
        <f t="shared" si="0"/>
        <v>-3.8134057971014435E-2</v>
      </c>
      <c r="F25" s="193">
        <v>18758.349999999999</v>
      </c>
      <c r="G25" s="172">
        <f t="shared" si="1"/>
        <v>4.1424701035964295E-2</v>
      </c>
      <c r="L25" s="224" t="s">
        <v>60</v>
      </c>
      <c r="M25" s="224">
        <v>19</v>
      </c>
      <c r="N25" s="224">
        <v>6.6775227050091687E-2</v>
      </c>
      <c r="O25" s="224"/>
      <c r="P25" s="224"/>
      <c r="Q25" s="224"/>
      <c r="R25"/>
      <c r="S25"/>
      <c r="T25"/>
    </row>
    <row r="26" spans="2:20" ht="15" thickBot="1" x14ac:dyDescent="0.35">
      <c r="B26" s="186">
        <v>46113</v>
      </c>
      <c r="C26" s="124">
        <v>569</v>
      </c>
      <c r="D26" s="172">
        <f t="shared" si="0"/>
        <v>7.1663998493266767E-2</v>
      </c>
      <c r="F26" s="193">
        <v>18105.3</v>
      </c>
      <c r="G26" s="172">
        <f t="shared" si="1"/>
        <v>-3.4813829574562805E-2</v>
      </c>
      <c r="L26"/>
      <c r="M26"/>
      <c r="N26"/>
      <c r="O26"/>
      <c r="P26"/>
      <c r="Q26"/>
      <c r="R26"/>
      <c r="S26"/>
      <c r="T26"/>
    </row>
    <row r="27" spans="2:20" x14ac:dyDescent="0.3">
      <c r="B27" s="186">
        <v>46118</v>
      </c>
      <c r="C27" s="124">
        <v>578.75</v>
      </c>
      <c r="D27" s="172">
        <f t="shared" si="0"/>
        <v>1.7135325131810264E-2</v>
      </c>
      <c r="F27" s="193">
        <v>17662.150000000001</v>
      </c>
      <c r="G27" s="172">
        <f t="shared" si="1"/>
        <v>-2.4476258333195111E-2</v>
      </c>
      <c r="L27" s="225"/>
      <c r="M27" s="225" t="s">
        <v>61</v>
      </c>
      <c r="N27" s="225" t="s">
        <v>50</v>
      </c>
      <c r="O27" s="225" t="s">
        <v>62</v>
      </c>
      <c r="P27" s="225" t="s">
        <v>63</v>
      </c>
      <c r="Q27" s="225" t="s">
        <v>64</v>
      </c>
      <c r="R27" s="225" t="s">
        <v>65</v>
      </c>
      <c r="S27" s="225" t="s">
        <v>66</v>
      </c>
      <c r="T27" s="225" t="s">
        <v>67</v>
      </c>
    </row>
    <row r="28" spans="2:20" x14ac:dyDescent="0.3">
      <c r="C28" s="193"/>
      <c r="D28" s="172"/>
      <c r="F28" s="193"/>
      <c r="G28" s="172"/>
      <c r="L28" t="s">
        <v>68</v>
      </c>
      <c r="M28">
        <v>-8.1109209038745887E-3</v>
      </c>
      <c r="N28">
        <v>1.3214525265849285E-2</v>
      </c>
      <c r="O28">
        <v>-0.61378829285951708</v>
      </c>
      <c r="P28">
        <v>0.54703463699012567</v>
      </c>
      <c r="Q28">
        <v>-3.5873608286219411E-2</v>
      </c>
      <c r="R28">
        <v>1.965176647847023E-2</v>
      </c>
      <c r="S28">
        <v>-3.5873608286219411E-2</v>
      </c>
      <c r="T28">
        <v>1.965176647847023E-2</v>
      </c>
    </row>
    <row r="29" spans="2:20" ht="15" thickBot="1" x14ac:dyDescent="0.35">
      <c r="C29" s="193"/>
      <c r="D29" s="172"/>
      <c r="F29" s="193"/>
      <c r="G29" s="172"/>
      <c r="L29" s="224" t="s">
        <v>69</v>
      </c>
      <c r="M29" s="224">
        <v>-0.42304575496640601</v>
      </c>
      <c r="N29" s="224">
        <v>0.32341086898711313</v>
      </c>
      <c r="O29" s="224">
        <v>-1.3080752551432122</v>
      </c>
      <c r="P29" s="224">
        <v>0.20730703635887188</v>
      </c>
      <c r="Q29" s="224">
        <v>-1.1025067776749387</v>
      </c>
      <c r="R29" s="224">
        <v>0.2564152677421267</v>
      </c>
      <c r="S29" s="224">
        <v>-1.1025067776749387</v>
      </c>
      <c r="T29" s="224">
        <v>0.2564152677421267</v>
      </c>
    </row>
    <row r="30" spans="2:20" x14ac:dyDescent="0.3">
      <c r="C30" s="193"/>
      <c r="D30" s="172"/>
      <c r="F30" s="193"/>
      <c r="G30" s="172"/>
      <c r="L30"/>
      <c r="M30"/>
      <c r="N30"/>
      <c r="O30"/>
      <c r="P30"/>
      <c r="Q30"/>
      <c r="R30"/>
      <c r="S30"/>
      <c r="T30"/>
    </row>
    <row r="31" spans="2:20" x14ac:dyDescent="0.3">
      <c r="C31" s="193"/>
      <c r="D31" s="172"/>
      <c r="F31" s="193"/>
      <c r="G31" s="172"/>
      <c r="L31"/>
      <c r="M31"/>
      <c r="N31"/>
      <c r="O31"/>
      <c r="P31"/>
      <c r="Q31"/>
      <c r="R31"/>
      <c r="S31"/>
      <c r="T31"/>
    </row>
    <row r="32" spans="2:20" x14ac:dyDescent="0.3">
      <c r="C32" s="193"/>
      <c r="D32" s="172"/>
      <c r="F32" s="193"/>
      <c r="G32" s="172"/>
      <c r="L32"/>
      <c r="M32"/>
      <c r="N32"/>
      <c r="O32"/>
      <c r="P32"/>
      <c r="Q32"/>
      <c r="R32"/>
      <c r="S32"/>
      <c r="T32"/>
    </row>
    <row r="33" spans="3:7" x14ac:dyDescent="0.3">
      <c r="C33" s="193"/>
      <c r="D33" s="172"/>
      <c r="F33" s="193"/>
      <c r="G33" s="172"/>
    </row>
    <row r="34" spans="3:7" x14ac:dyDescent="0.3">
      <c r="C34" s="193"/>
      <c r="D34" s="172"/>
      <c r="F34" s="193"/>
      <c r="G34" s="172"/>
    </row>
    <row r="35" spans="3:7" x14ac:dyDescent="0.3">
      <c r="C35" s="193"/>
      <c r="D35" s="172"/>
      <c r="F35" s="193"/>
      <c r="G35" s="172"/>
    </row>
    <row r="36" spans="3:7" x14ac:dyDescent="0.3">
      <c r="C36" s="193"/>
      <c r="D36" s="172"/>
      <c r="F36" s="193"/>
      <c r="G36" s="172"/>
    </row>
    <row r="37" spans="3:7" x14ac:dyDescent="0.3">
      <c r="C37" s="193"/>
      <c r="D37" s="172"/>
      <c r="F37" s="193"/>
      <c r="G37" s="172"/>
    </row>
    <row r="38" spans="3:7" x14ac:dyDescent="0.3">
      <c r="C38" s="193"/>
      <c r="D38" s="172"/>
      <c r="F38" s="193"/>
      <c r="G38" s="172"/>
    </row>
    <row r="39" spans="3:7" x14ac:dyDescent="0.3">
      <c r="C39" s="193"/>
      <c r="D39" s="172"/>
      <c r="F39" s="193"/>
      <c r="G39" s="172"/>
    </row>
    <row r="40" spans="3:7" x14ac:dyDescent="0.3">
      <c r="C40" s="193"/>
      <c r="D40" s="172"/>
      <c r="F40" s="193"/>
      <c r="G40" s="172"/>
    </row>
    <row r="41" spans="3:7" x14ac:dyDescent="0.3">
      <c r="C41" s="193"/>
      <c r="D41" s="172"/>
      <c r="F41" s="193"/>
      <c r="G41" s="172"/>
    </row>
    <row r="42" spans="3:7" x14ac:dyDescent="0.3">
      <c r="C42" s="193"/>
      <c r="D42" s="172"/>
      <c r="F42" s="193"/>
      <c r="G42" s="172"/>
    </row>
    <row r="43" spans="3:7" x14ac:dyDescent="0.3">
      <c r="C43" s="193"/>
      <c r="D43" s="172"/>
      <c r="F43" s="193"/>
      <c r="G43" s="172"/>
    </row>
    <row r="44" spans="3:7" x14ac:dyDescent="0.3">
      <c r="C44" s="193"/>
      <c r="D44" s="172"/>
      <c r="F44" s="193"/>
      <c r="G44" s="172"/>
    </row>
    <row r="45" spans="3:7" x14ac:dyDescent="0.3">
      <c r="C45" s="193"/>
      <c r="D45" s="172"/>
      <c r="F45" s="193"/>
      <c r="G45" s="172"/>
    </row>
    <row r="46" spans="3:7" x14ac:dyDescent="0.3">
      <c r="C46" s="193"/>
      <c r="D46" s="172"/>
      <c r="F46" s="193"/>
      <c r="G46" s="172"/>
    </row>
    <row r="47" spans="3:7" x14ac:dyDescent="0.3">
      <c r="C47" s="193"/>
      <c r="D47" s="172"/>
      <c r="F47" s="193"/>
      <c r="G47" s="172"/>
    </row>
    <row r="48" spans="3:7" x14ac:dyDescent="0.3">
      <c r="C48" s="193"/>
      <c r="D48" s="172"/>
      <c r="F48" s="193"/>
      <c r="G48" s="172"/>
    </row>
    <row r="49" spans="3:7" x14ac:dyDescent="0.3">
      <c r="C49" s="193"/>
      <c r="D49" s="172"/>
      <c r="F49" s="193"/>
      <c r="G49" s="172"/>
    </row>
    <row r="50" spans="3:7" x14ac:dyDescent="0.3">
      <c r="C50" s="193"/>
      <c r="D50" s="172"/>
      <c r="F50" s="193"/>
      <c r="G50" s="172"/>
    </row>
    <row r="51" spans="3:7" x14ac:dyDescent="0.3">
      <c r="C51" s="193"/>
      <c r="D51" s="172"/>
      <c r="F51" s="193"/>
      <c r="G51" s="172"/>
    </row>
    <row r="52" spans="3:7" x14ac:dyDescent="0.3">
      <c r="C52" s="193"/>
      <c r="D52" s="172"/>
      <c r="F52" s="193"/>
      <c r="G52" s="172"/>
    </row>
    <row r="53" spans="3:7" x14ac:dyDescent="0.3">
      <c r="C53" s="193"/>
      <c r="D53" s="172"/>
      <c r="F53" s="193"/>
      <c r="G53" s="172"/>
    </row>
    <row r="54" spans="3:7" x14ac:dyDescent="0.3">
      <c r="C54" s="193"/>
      <c r="D54" s="172"/>
      <c r="F54" s="193"/>
      <c r="G54" s="172"/>
    </row>
    <row r="55" spans="3:7" x14ac:dyDescent="0.3">
      <c r="C55" s="193"/>
      <c r="D55" s="172"/>
      <c r="F55" s="193"/>
      <c r="G55" s="172"/>
    </row>
    <row r="56" spans="3:7" x14ac:dyDescent="0.3">
      <c r="C56" s="193"/>
      <c r="D56" s="172"/>
      <c r="F56" s="193"/>
      <c r="G56" s="172"/>
    </row>
    <row r="57" spans="3:7" x14ac:dyDescent="0.3">
      <c r="C57" s="193"/>
      <c r="D57" s="172"/>
      <c r="F57" s="193"/>
      <c r="G57" s="172"/>
    </row>
    <row r="58" spans="3:7" x14ac:dyDescent="0.3">
      <c r="C58" s="193"/>
      <c r="D58" s="172"/>
      <c r="F58" s="193"/>
      <c r="G58" s="172"/>
    </row>
    <row r="59" spans="3:7" x14ac:dyDescent="0.3">
      <c r="C59" s="193"/>
      <c r="D59" s="172"/>
      <c r="F59" s="193"/>
      <c r="G59" s="172"/>
    </row>
    <row r="60" spans="3:7" x14ac:dyDescent="0.3">
      <c r="C60" s="193"/>
      <c r="D60" s="172"/>
      <c r="F60" s="193"/>
      <c r="G60" s="172"/>
    </row>
    <row r="61" spans="3:7" x14ac:dyDescent="0.3">
      <c r="C61" s="193"/>
      <c r="D61" s="172"/>
      <c r="F61" s="193"/>
      <c r="G61" s="172"/>
    </row>
    <row r="62" spans="3:7" x14ac:dyDescent="0.3">
      <c r="C62" s="193"/>
      <c r="D62" s="172"/>
      <c r="F62" s="193"/>
      <c r="G62" s="172"/>
    </row>
    <row r="63" spans="3:7" x14ac:dyDescent="0.3">
      <c r="C63" s="193"/>
      <c r="D63" s="172"/>
      <c r="F63" s="193"/>
      <c r="G63" s="172"/>
    </row>
    <row r="64" spans="3:7" x14ac:dyDescent="0.3">
      <c r="C64" s="193"/>
      <c r="D64" s="172"/>
      <c r="F64" s="193"/>
      <c r="G64" s="172"/>
    </row>
    <row r="65" spans="3:7" x14ac:dyDescent="0.3">
      <c r="C65" s="193"/>
      <c r="D65" s="172"/>
      <c r="F65" s="193"/>
      <c r="G65" s="172"/>
    </row>
    <row r="66" spans="3:7" x14ac:dyDescent="0.3">
      <c r="C66" s="193"/>
      <c r="D66" s="172"/>
      <c r="F66" s="193"/>
      <c r="G66" s="172"/>
    </row>
    <row r="67" spans="3:7" x14ac:dyDescent="0.3">
      <c r="C67" s="193"/>
      <c r="D67" s="172"/>
      <c r="F67" s="193"/>
      <c r="G67" s="172"/>
    </row>
    <row r="68" spans="3:7" x14ac:dyDescent="0.3">
      <c r="C68" s="193"/>
      <c r="D68" s="172"/>
      <c r="F68" s="193"/>
      <c r="G68" s="172"/>
    </row>
    <row r="69" spans="3:7" x14ac:dyDescent="0.3">
      <c r="C69" s="193"/>
      <c r="D69" s="172"/>
      <c r="F69" s="193"/>
      <c r="G69" s="172"/>
    </row>
    <row r="70" spans="3:7" x14ac:dyDescent="0.3">
      <c r="C70" s="193"/>
      <c r="D70" s="172"/>
      <c r="F70" s="193"/>
      <c r="G70" s="172"/>
    </row>
    <row r="71" spans="3:7" x14ac:dyDescent="0.3">
      <c r="C71" s="193"/>
      <c r="D71" s="172"/>
      <c r="F71" s="193"/>
      <c r="G71" s="172"/>
    </row>
    <row r="72" spans="3:7" x14ac:dyDescent="0.3">
      <c r="C72" s="193"/>
      <c r="D72" s="172"/>
      <c r="F72" s="193"/>
      <c r="G72" s="172"/>
    </row>
    <row r="73" spans="3:7" x14ac:dyDescent="0.3">
      <c r="C73" s="193"/>
      <c r="D73" s="172"/>
      <c r="F73" s="193"/>
      <c r="G73" s="172"/>
    </row>
    <row r="74" spans="3:7" x14ac:dyDescent="0.3">
      <c r="C74" s="193"/>
      <c r="D74" s="172"/>
      <c r="F74" s="193"/>
      <c r="G74" s="172"/>
    </row>
    <row r="75" spans="3:7" x14ac:dyDescent="0.3">
      <c r="C75" s="193"/>
      <c r="D75" s="172"/>
      <c r="F75" s="193"/>
      <c r="G75" s="172"/>
    </row>
    <row r="76" spans="3:7" x14ac:dyDescent="0.3">
      <c r="C76" s="193"/>
      <c r="D76" s="172"/>
      <c r="F76" s="193"/>
      <c r="G76" s="172"/>
    </row>
    <row r="77" spans="3:7" x14ac:dyDescent="0.3">
      <c r="C77" s="193"/>
      <c r="D77" s="172"/>
      <c r="F77" s="193"/>
      <c r="G77" s="172"/>
    </row>
    <row r="78" spans="3:7" x14ac:dyDescent="0.3">
      <c r="C78" s="193"/>
      <c r="D78" s="172"/>
      <c r="F78" s="193"/>
      <c r="G78" s="172"/>
    </row>
    <row r="79" spans="3:7" x14ac:dyDescent="0.3">
      <c r="C79" s="193"/>
      <c r="D79" s="172"/>
      <c r="F79" s="193"/>
      <c r="G79" s="172"/>
    </row>
    <row r="80" spans="3:7" x14ac:dyDescent="0.3">
      <c r="C80" s="193"/>
      <c r="D80" s="172"/>
      <c r="F80" s="193"/>
      <c r="G80" s="172"/>
    </row>
    <row r="81" spans="3:7" x14ac:dyDescent="0.3">
      <c r="C81" s="193"/>
      <c r="D81" s="172"/>
      <c r="F81" s="193"/>
      <c r="G81" s="172"/>
    </row>
    <row r="82" spans="3:7" x14ac:dyDescent="0.3">
      <c r="C82" s="193"/>
      <c r="D82" s="172"/>
      <c r="F82" s="193"/>
      <c r="G82" s="172"/>
    </row>
    <row r="83" spans="3:7" x14ac:dyDescent="0.3">
      <c r="C83" s="193"/>
      <c r="D83" s="172"/>
      <c r="F83" s="193"/>
      <c r="G83" s="172"/>
    </row>
    <row r="84" spans="3:7" x14ac:dyDescent="0.3">
      <c r="C84" s="193"/>
      <c r="D84" s="172"/>
      <c r="F84" s="193"/>
      <c r="G84" s="172"/>
    </row>
    <row r="85" spans="3:7" x14ac:dyDescent="0.3">
      <c r="C85" s="193"/>
      <c r="D85" s="172"/>
      <c r="F85" s="193"/>
      <c r="G85" s="172"/>
    </row>
    <row r="86" spans="3:7" x14ac:dyDescent="0.3">
      <c r="C86" s="193"/>
      <c r="D86" s="172"/>
      <c r="F86" s="193"/>
      <c r="G86" s="172"/>
    </row>
    <row r="87" spans="3:7" x14ac:dyDescent="0.3">
      <c r="C87" s="193"/>
      <c r="D87" s="172"/>
      <c r="F87" s="193"/>
      <c r="G87" s="172"/>
    </row>
    <row r="88" spans="3:7" x14ac:dyDescent="0.3">
      <c r="C88" s="193"/>
      <c r="D88" s="172"/>
      <c r="F88" s="193"/>
      <c r="G88" s="172"/>
    </row>
    <row r="89" spans="3:7" x14ac:dyDescent="0.3">
      <c r="C89" s="193"/>
      <c r="D89" s="172"/>
      <c r="F89" s="193"/>
      <c r="G89" s="172"/>
    </row>
    <row r="90" spans="3:7" x14ac:dyDescent="0.3">
      <c r="C90" s="193"/>
      <c r="D90" s="172"/>
      <c r="F90" s="193"/>
      <c r="G90" s="172"/>
    </row>
    <row r="91" spans="3:7" x14ac:dyDescent="0.3">
      <c r="C91" s="193"/>
      <c r="D91" s="172"/>
      <c r="F91" s="193"/>
      <c r="G91" s="172"/>
    </row>
    <row r="92" spans="3:7" x14ac:dyDescent="0.3">
      <c r="C92" s="193"/>
      <c r="D92" s="172"/>
      <c r="F92" s="193"/>
      <c r="G92" s="172"/>
    </row>
    <row r="93" spans="3:7" x14ac:dyDescent="0.3">
      <c r="C93" s="193"/>
      <c r="D93" s="172"/>
      <c r="F93" s="193"/>
      <c r="G93" s="172"/>
    </row>
    <row r="94" spans="3:7" x14ac:dyDescent="0.3">
      <c r="C94" s="193"/>
      <c r="D94" s="172"/>
      <c r="F94" s="193"/>
      <c r="G94" s="172"/>
    </row>
    <row r="95" spans="3:7" x14ac:dyDescent="0.3">
      <c r="C95" s="193"/>
      <c r="D95" s="172"/>
      <c r="F95" s="193"/>
      <c r="G95" s="172"/>
    </row>
    <row r="96" spans="3:7" x14ac:dyDescent="0.3">
      <c r="C96" s="193"/>
      <c r="D96" s="172"/>
      <c r="F96" s="193"/>
      <c r="G96" s="172"/>
    </row>
    <row r="97" spans="3:7" x14ac:dyDescent="0.3">
      <c r="C97" s="193"/>
      <c r="D97" s="172"/>
      <c r="F97" s="193"/>
      <c r="G97" s="172"/>
    </row>
    <row r="98" spans="3:7" x14ac:dyDescent="0.3">
      <c r="C98" s="193"/>
      <c r="D98" s="172"/>
      <c r="F98" s="193"/>
      <c r="G98" s="172"/>
    </row>
    <row r="99" spans="3:7" x14ac:dyDescent="0.3">
      <c r="C99" s="193"/>
      <c r="D99" s="172"/>
      <c r="F99" s="193"/>
      <c r="G99" s="172"/>
    </row>
    <row r="100" spans="3:7" x14ac:dyDescent="0.3">
      <c r="C100" s="193"/>
      <c r="D100" s="172"/>
      <c r="F100" s="193"/>
      <c r="G100" s="172"/>
    </row>
    <row r="101" spans="3:7" x14ac:dyDescent="0.3">
      <c r="C101" s="193"/>
      <c r="D101" s="172"/>
      <c r="F101" s="193"/>
      <c r="G101" s="172"/>
    </row>
    <row r="102" spans="3:7" x14ac:dyDescent="0.3">
      <c r="C102" s="193"/>
      <c r="D102" s="172"/>
      <c r="F102" s="193"/>
      <c r="G102" s="172"/>
    </row>
    <row r="103" spans="3:7" x14ac:dyDescent="0.3">
      <c r="C103" s="193"/>
      <c r="D103" s="172"/>
      <c r="F103" s="193"/>
      <c r="G103" s="172"/>
    </row>
    <row r="104" spans="3:7" x14ac:dyDescent="0.3">
      <c r="C104" s="193"/>
      <c r="D104" s="172"/>
      <c r="F104" s="193"/>
      <c r="G104" s="172"/>
    </row>
    <row r="105" spans="3:7" x14ac:dyDescent="0.3">
      <c r="C105" s="193"/>
      <c r="D105" s="172"/>
      <c r="F105" s="193"/>
      <c r="G105" s="172"/>
    </row>
    <row r="106" spans="3:7" x14ac:dyDescent="0.3">
      <c r="C106" s="193"/>
      <c r="D106" s="172"/>
      <c r="F106" s="193"/>
      <c r="G106" s="172"/>
    </row>
    <row r="107" spans="3:7" x14ac:dyDescent="0.3">
      <c r="C107" s="193"/>
      <c r="D107" s="172"/>
      <c r="F107" s="193"/>
      <c r="G107" s="172"/>
    </row>
    <row r="108" spans="3:7" x14ac:dyDescent="0.3">
      <c r="C108" s="193"/>
      <c r="D108" s="172"/>
      <c r="F108" s="193"/>
      <c r="G108" s="172"/>
    </row>
    <row r="109" spans="3:7" x14ac:dyDescent="0.3">
      <c r="C109" s="193"/>
      <c r="D109" s="172"/>
      <c r="F109" s="193"/>
      <c r="G109" s="172"/>
    </row>
    <row r="110" spans="3:7" x14ac:dyDescent="0.3">
      <c r="C110" s="193"/>
      <c r="D110" s="172"/>
      <c r="F110" s="193"/>
      <c r="G110" s="172"/>
    </row>
    <row r="111" spans="3:7" x14ac:dyDescent="0.3">
      <c r="C111" s="193"/>
      <c r="D111" s="172"/>
      <c r="F111" s="193"/>
      <c r="G111" s="172"/>
    </row>
    <row r="112" spans="3:7" x14ac:dyDescent="0.3">
      <c r="C112" s="193"/>
      <c r="D112" s="172"/>
      <c r="F112" s="193"/>
      <c r="G112" s="172"/>
    </row>
    <row r="113" spans="3:7" x14ac:dyDescent="0.3">
      <c r="C113" s="193"/>
      <c r="D113" s="172"/>
      <c r="F113" s="193"/>
      <c r="G113" s="172"/>
    </row>
    <row r="114" spans="3:7" x14ac:dyDescent="0.3">
      <c r="C114" s="185"/>
    </row>
  </sheetData>
  <autoFilter ref="V4:W25" xr:uid="{0D5F2D52-4D34-4700-B103-A3FED765AC47}">
    <sortState xmlns:xlrd2="http://schemas.microsoft.com/office/spreadsheetml/2017/richdata2" ref="V5:W25">
      <sortCondition ref="V4:V25"/>
    </sortState>
  </autoFilter>
  <mergeCells count="3">
    <mergeCell ref="B4:D4"/>
    <mergeCell ref="F4:G4"/>
    <mergeCell ref="I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C0F1-7637-49F4-B226-9EC3ADB46A90}">
  <dimension ref="B2:Y115"/>
  <sheetViews>
    <sheetView showGridLines="0" workbookViewId="0">
      <selection activeCell="J17" sqref="J17"/>
    </sheetView>
  </sheetViews>
  <sheetFormatPr defaultColWidth="8.88671875" defaultRowHeight="14.4" x14ac:dyDescent="0.3"/>
  <cols>
    <col min="1" max="1" width="1.88671875" style="124" customWidth="1"/>
    <col min="2" max="2" width="28.6640625" style="124" bestFit="1" customWidth="1"/>
    <col min="3" max="3" width="12" style="124" bestFit="1" customWidth="1"/>
    <col min="4" max="4" width="7.6640625" style="124" bestFit="1" customWidth="1"/>
    <col min="5" max="5" width="8.88671875" style="124"/>
    <col min="6" max="6" width="11.5546875" style="124" bestFit="1" customWidth="1"/>
    <col min="7" max="7" width="6.6640625" style="124" bestFit="1" customWidth="1"/>
    <col min="8" max="8" width="8.88671875" style="124"/>
    <col min="9" max="9" width="17.5546875" style="124" bestFit="1" customWidth="1"/>
    <col min="10" max="10" width="7" style="124" bestFit="1" customWidth="1"/>
    <col min="11" max="11" width="8.88671875" style="124"/>
    <col min="12" max="12" width="17.44140625" style="124" bestFit="1" customWidth="1"/>
    <col min="13" max="13" width="12" style="124" bestFit="1" customWidth="1"/>
    <col min="14" max="14" width="13.44140625" style="124" bestFit="1" customWidth="1"/>
    <col min="15" max="16" width="12" style="124" bestFit="1" customWidth="1"/>
    <col min="17" max="17" width="12.6640625" style="124" bestFit="1" customWidth="1"/>
    <col min="18" max="18" width="12" style="124" bestFit="1" customWidth="1"/>
    <col min="19" max="19" width="12.6640625" style="124" bestFit="1" customWidth="1"/>
    <col min="20" max="20" width="12.109375" style="124" bestFit="1" customWidth="1"/>
    <col min="21" max="21" width="8.88671875" style="124"/>
    <col min="22" max="22" width="9.88671875" style="124" bestFit="1" customWidth="1"/>
    <col min="23" max="24" width="8.88671875" style="124"/>
    <col min="25" max="25" width="9.88671875" style="124" bestFit="1" customWidth="1"/>
    <col min="26" max="16384" width="8.88671875" style="124"/>
  </cols>
  <sheetData>
    <row r="2" spans="2:25" x14ac:dyDescent="0.3">
      <c r="B2" s="178" t="s">
        <v>30</v>
      </c>
    </row>
    <row r="4" spans="2:25" x14ac:dyDescent="0.3">
      <c r="B4" s="267" t="s">
        <v>78</v>
      </c>
      <c r="C4" s="267"/>
      <c r="D4" s="267"/>
      <c r="F4" s="267" t="s">
        <v>32</v>
      </c>
      <c r="G4" s="267"/>
      <c r="I4" s="267" t="s">
        <v>33</v>
      </c>
      <c r="J4" s="267"/>
    </row>
    <row r="5" spans="2:25" x14ac:dyDescent="0.3">
      <c r="L5" s="124" t="s">
        <v>34</v>
      </c>
      <c r="M5" s="125">
        <f>SLOPE(D8:D113,G8:G113)</f>
        <v>2.5407187517370398</v>
      </c>
    </row>
    <row r="6" spans="2:25" x14ac:dyDescent="0.3">
      <c r="B6" s="177" t="s">
        <v>35</v>
      </c>
      <c r="C6" s="176" t="s">
        <v>74</v>
      </c>
      <c r="D6" s="176" t="s">
        <v>75</v>
      </c>
      <c r="F6" s="176" t="s">
        <v>36</v>
      </c>
      <c r="G6" s="176" t="s">
        <v>37</v>
      </c>
      <c r="I6" s="124" t="s">
        <v>38</v>
      </c>
      <c r="J6" s="125">
        <f>M7</f>
        <v>2.5407187517370384</v>
      </c>
      <c r="L6" s="124" t="s">
        <v>39</v>
      </c>
      <c r="M6" s="125">
        <f>_xlfn.COVARIANCE.S(D7:D113,G7:G113)/_xlfn.VAR.S(G7:G113)</f>
        <v>2.5407187517370384</v>
      </c>
      <c r="V6" s="188"/>
      <c r="Y6" s="188"/>
    </row>
    <row r="7" spans="2:25" x14ac:dyDescent="0.3">
      <c r="B7" s="186">
        <v>44317</v>
      </c>
      <c r="C7" s="227">
        <v>2.7</v>
      </c>
      <c r="F7" s="193">
        <v>15582.8</v>
      </c>
      <c r="I7" s="124" t="s">
        <v>40</v>
      </c>
      <c r="J7" s="172">
        <v>0.75</v>
      </c>
      <c r="L7" s="124" t="s">
        <v>41</v>
      </c>
      <c r="M7" s="125">
        <f>M29</f>
        <v>2.5407187517370384</v>
      </c>
      <c r="V7" s="188"/>
      <c r="Y7" s="188"/>
    </row>
    <row r="8" spans="2:25" x14ac:dyDescent="0.3">
      <c r="B8" s="186">
        <v>44348</v>
      </c>
      <c r="C8" s="227">
        <v>2.68</v>
      </c>
      <c r="D8" s="172">
        <f t="shared" ref="D8:D39" si="0">C8/C7-1</f>
        <v>-7.4074074074074181E-3</v>
      </c>
      <c r="F8" s="193">
        <v>15721.5</v>
      </c>
      <c r="G8" s="172">
        <f>F8/F7-1</f>
        <v>8.9008393870164682E-3</v>
      </c>
      <c r="V8" s="188"/>
      <c r="Y8" s="188"/>
    </row>
    <row r="9" spans="2:25" x14ac:dyDescent="0.3">
      <c r="B9" s="186">
        <v>44378</v>
      </c>
      <c r="C9" s="227">
        <v>2.4500000000000002</v>
      </c>
      <c r="D9" s="172">
        <f t="shared" si="0"/>
        <v>-8.582089552238803E-2</v>
      </c>
      <c r="F9" s="193">
        <v>15763.05</v>
      </c>
      <c r="G9" s="172">
        <f t="shared" ref="G9:G66" si="1">F9/F8-1</f>
        <v>2.6428775880162902E-3</v>
      </c>
      <c r="I9" s="124" t="s">
        <v>42</v>
      </c>
      <c r="J9" s="125">
        <v>1</v>
      </c>
      <c r="V9" s="188"/>
      <c r="Y9" s="188"/>
    </row>
    <row r="10" spans="2:25" x14ac:dyDescent="0.3">
      <c r="B10" s="186">
        <v>44409</v>
      </c>
      <c r="C10" s="227">
        <v>2.2799999999999998</v>
      </c>
      <c r="D10" s="172">
        <f t="shared" si="0"/>
        <v>-6.9387755102040982E-2</v>
      </c>
      <c r="F10" s="193">
        <v>17132.2</v>
      </c>
      <c r="G10" s="172">
        <f t="shared" si="1"/>
        <v>8.6858190515160638E-2</v>
      </c>
      <c r="I10" s="124" t="s">
        <v>43</v>
      </c>
      <c r="J10" s="172">
        <v>0.25</v>
      </c>
      <c r="V10" s="188"/>
      <c r="Y10" s="188"/>
    </row>
    <row r="11" spans="2:25" x14ac:dyDescent="0.3">
      <c r="B11" s="186">
        <v>44440</v>
      </c>
      <c r="C11" s="227">
        <v>2.66</v>
      </c>
      <c r="D11" s="172">
        <f t="shared" si="0"/>
        <v>0.16666666666666674</v>
      </c>
      <c r="F11" s="193">
        <v>17618.150000000001</v>
      </c>
      <c r="G11" s="172">
        <f t="shared" si="1"/>
        <v>2.8364716732235173E-2</v>
      </c>
      <c r="L11"/>
      <c r="M11"/>
      <c r="N11"/>
      <c r="O11"/>
      <c r="P11"/>
      <c r="Q11"/>
      <c r="R11"/>
      <c r="S11"/>
      <c r="T11"/>
      <c r="U11"/>
      <c r="V11" s="188"/>
      <c r="Y11" s="188"/>
    </row>
    <row r="12" spans="2:25" x14ac:dyDescent="0.3">
      <c r="B12" s="186">
        <v>44470</v>
      </c>
      <c r="C12" s="227">
        <v>2.76</v>
      </c>
      <c r="D12" s="172">
        <f t="shared" si="0"/>
        <v>3.7593984962405846E-2</v>
      </c>
      <c r="F12" s="193">
        <v>17671.650000000001</v>
      </c>
      <c r="G12" s="172">
        <f t="shared" si="1"/>
        <v>3.0366411910445201E-3</v>
      </c>
      <c r="I12" s="127" t="s">
        <v>44</v>
      </c>
      <c r="J12" s="175">
        <f>(J6*J7)+(J9*J10)</f>
        <v>2.1555390638027787</v>
      </c>
      <c r="L12" t="s">
        <v>45</v>
      </c>
      <c r="M12"/>
      <c r="N12"/>
      <c r="O12"/>
      <c r="P12"/>
      <c r="Q12"/>
      <c r="R12"/>
      <c r="S12"/>
      <c r="T12"/>
      <c r="U12"/>
      <c r="V12" s="188"/>
      <c r="Y12" s="188"/>
    </row>
    <row r="13" spans="2:25" ht="15" thickBot="1" x14ac:dyDescent="0.35">
      <c r="B13" s="186">
        <v>44501</v>
      </c>
      <c r="C13" s="227">
        <v>2.35</v>
      </c>
      <c r="D13" s="172">
        <f t="shared" si="0"/>
        <v>-0.14855072463768104</v>
      </c>
      <c r="F13" s="193">
        <v>16983.2</v>
      </c>
      <c r="G13" s="172">
        <f t="shared" si="1"/>
        <v>-3.8957878862471818E-2</v>
      </c>
      <c r="L13"/>
      <c r="M13"/>
      <c r="N13"/>
      <c r="O13"/>
      <c r="P13"/>
      <c r="Q13"/>
      <c r="R13"/>
      <c r="S13"/>
      <c r="T13"/>
      <c r="U13"/>
      <c r="V13" s="188"/>
      <c r="Y13" s="188"/>
    </row>
    <row r="14" spans="2:25" x14ac:dyDescent="0.3">
      <c r="B14" s="186">
        <v>44531</v>
      </c>
      <c r="C14" s="227">
        <v>2.69</v>
      </c>
      <c r="D14" s="172">
        <f t="shared" si="0"/>
        <v>0.14468085106382977</v>
      </c>
      <c r="F14" s="193">
        <v>17354.05</v>
      </c>
      <c r="G14" s="172">
        <f t="shared" si="1"/>
        <v>2.1836285270149247E-2</v>
      </c>
      <c r="L14" s="226" t="s">
        <v>46</v>
      </c>
      <c r="M14" s="226"/>
      <c r="N14"/>
      <c r="O14"/>
      <c r="P14"/>
      <c r="Q14"/>
      <c r="R14"/>
      <c r="S14"/>
      <c r="T14"/>
      <c r="U14"/>
      <c r="V14" s="188"/>
      <c r="Y14" s="188"/>
    </row>
    <row r="15" spans="2:25" x14ac:dyDescent="0.3">
      <c r="B15" s="186">
        <v>44562</v>
      </c>
      <c r="C15" s="227">
        <v>2.63</v>
      </c>
      <c r="D15" s="172">
        <f t="shared" si="0"/>
        <v>-2.2304832713754719E-2</v>
      </c>
      <c r="F15" s="193">
        <v>17339.849999999999</v>
      </c>
      <c r="G15" s="172">
        <f t="shared" si="1"/>
        <v>-8.1825279977876253E-4</v>
      </c>
      <c r="L15" t="s">
        <v>47</v>
      </c>
      <c r="M15">
        <v>0.3759563476637518</v>
      </c>
      <c r="N15"/>
      <c r="O15"/>
      <c r="P15"/>
      <c r="Q15"/>
      <c r="R15"/>
      <c r="S15"/>
      <c r="T15"/>
      <c r="U15"/>
      <c r="V15" s="188"/>
      <c r="Y15" s="188"/>
    </row>
    <row r="16" spans="2:25" x14ac:dyDescent="0.3">
      <c r="B16" s="186">
        <v>44593</v>
      </c>
      <c r="C16" s="227">
        <v>2.02</v>
      </c>
      <c r="D16" s="172">
        <f t="shared" si="0"/>
        <v>-0.23193916349809884</v>
      </c>
      <c r="F16" s="193">
        <v>16793.900000000001</v>
      </c>
      <c r="G16" s="172">
        <f t="shared" si="1"/>
        <v>-3.1485278131010208E-2</v>
      </c>
      <c r="L16" t="s">
        <v>48</v>
      </c>
      <c r="M16">
        <v>0.14134317534866783</v>
      </c>
      <c r="N16"/>
      <c r="O16"/>
      <c r="P16"/>
      <c r="Q16"/>
      <c r="R16"/>
      <c r="S16"/>
      <c r="T16"/>
      <c r="U16"/>
      <c r="V16" s="188"/>
      <c r="Y16" s="188"/>
    </row>
    <row r="17" spans="2:25" x14ac:dyDescent="0.3">
      <c r="B17" s="186">
        <v>44621</v>
      </c>
      <c r="C17" s="227">
        <v>2.09</v>
      </c>
      <c r="D17" s="172">
        <f t="shared" si="0"/>
        <v>3.4653465346534684E-2</v>
      </c>
      <c r="F17" s="193">
        <v>17464.75</v>
      </c>
      <c r="G17" s="172">
        <f t="shared" si="1"/>
        <v>3.9946051840251462E-2</v>
      </c>
      <c r="L17" t="s">
        <v>49</v>
      </c>
      <c r="M17">
        <v>0.12627902053022341</v>
      </c>
      <c r="N17"/>
      <c r="O17"/>
      <c r="P17"/>
      <c r="Q17"/>
      <c r="R17"/>
      <c r="S17"/>
      <c r="T17"/>
      <c r="U17"/>
      <c r="V17" s="188"/>
      <c r="Y17" s="188"/>
    </row>
    <row r="18" spans="2:25" x14ac:dyDescent="0.3">
      <c r="B18" s="186">
        <v>44652</v>
      </c>
      <c r="C18" s="227">
        <v>2.2000000000000002</v>
      </c>
      <c r="D18" s="172">
        <f t="shared" si="0"/>
        <v>5.2631578947368585E-2</v>
      </c>
      <c r="F18" s="193">
        <v>17102.55</v>
      </c>
      <c r="G18" s="172">
        <f t="shared" si="1"/>
        <v>-2.0738916961307807E-2</v>
      </c>
      <c r="L18" t="s">
        <v>50</v>
      </c>
      <c r="M18">
        <v>0.24222439272528754</v>
      </c>
      <c r="N18"/>
      <c r="O18"/>
      <c r="P18"/>
      <c r="Q18"/>
      <c r="R18"/>
      <c r="S18"/>
      <c r="T18"/>
      <c r="U18"/>
      <c r="V18" s="188"/>
      <c r="Y18" s="188"/>
    </row>
    <row r="19" spans="2:25" ht="15" thickBot="1" x14ac:dyDescent="0.35">
      <c r="B19" s="186">
        <v>44682</v>
      </c>
      <c r="C19" s="227">
        <v>2.02</v>
      </c>
      <c r="D19" s="172">
        <f t="shared" si="0"/>
        <v>-8.1818181818181901E-2</v>
      </c>
      <c r="F19" s="193">
        <v>16584.55</v>
      </c>
      <c r="G19" s="172">
        <f t="shared" si="1"/>
        <v>-3.0287881046978327E-2</v>
      </c>
      <c r="L19" s="224" t="s">
        <v>51</v>
      </c>
      <c r="M19" s="224">
        <v>59</v>
      </c>
      <c r="N19"/>
      <c r="O19"/>
      <c r="P19"/>
      <c r="Q19"/>
      <c r="R19"/>
      <c r="S19"/>
      <c r="T19"/>
      <c r="U19"/>
      <c r="V19" s="188"/>
      <c r="Y19" s="188"/>
    </row>
    <row r="20" spans="2:25" x14ac:dyDescent="0.3">
      <c r="B20" s="186">
        <v>44713</v>
      </c>
      <c r="C20" s="227">
        <v>2.31</v>
      </c>
      <c r="D20" s="172">
        <f t="shared" si="0"/>
        <v>0.14356435643564347</v>
      </c>
      <c r="F20" s="193">
        <v>15780.25</v>
      </c>
      <c r="G20" s="172">
        <f t="shared" si="1"/>
        <v>-4.8496944445281853E-2</v>
      </c>
      <c r="L20"/>
      <c r="M20"/>
      <c r="N20"/>
      <c r="O20"/>
      <c r="P20"/>
      <c r="Q20"/>
      <c r="R20"/>
      <c r="S20"/>
      <c r="T20"/>
      <c r="U20"/>
      <c r="V20" s="188"/>
      <c r="Y20" s="188"/>
    </row>
    <row r="21" spans="2:25" ht="15" thickBot="1" x14ac:dyDescent="0.35">
      <c r="B21" s="186">
        <v>44743</v>
      </c>
      <c r="C21" s="227">
        <v>4.68</v>
      </c>
      <c r="D21" s="172">
        <f t="shared" si="0"/>
        <v>1.0259740259740258</v>
      </c>
      <c r="F21" s="193">
        <v>17158.25</v>
      </c>
      <c r="G21" s="172">
        <f t="shared" si="1"/>
        <v>8.7324345305048956E-2</v>
      </c>
      <c r="L21" t="s">
        <v>52</v>
      </c>
      <c r="M21"/>
      <c r="N21"/>
      <c r="O21"/>
      <c r="P21"/>
      <c r="Q21"/>
      <c r="R21"/>
      <c r="S21"/>
      <c r="T21"/>
      <c r="U21"/>
      <c r="V21" s="188"/>
      <c r="Y21" s="188"/>
    </row>
    <row r="22" spans="2:25" x14ac:dyDescent="0.3">
      <c r="B22" s="186">
        <v>44774</v>
      </c>
      <c r="C22" s="227">
        <v>7.14</v>
      </c>
      <c r="D22" s="172">
        <f t="shared" si="0"/>
        <v>0.52564102564102577</v>
      </c>
      <c r="F22" s="193">
        <v>17759.3</v>
      </c>
      <c r="G22" s="172">
        <f t="shared" si="1"/>
        <v>3.5029796162195925E-2</v>
      </c>
      <c r="L22" s="225"/>
      <c r="M22" s="225" t="s">
        <v>53</v>
      </c>
      <c r="N22" s="225" t="s">
        <v>54</v>
      </c>
      <c r="O22" s="225" t="s">
        <v>55</v>
      </c>
      <c r="P22" s="225" t="s">
        <v>56</v>
      </c>
      <c r="Q22" s="225" t="s">
        <v>57</v>
      </c>
      <c r="R22"/>
      <c r="S22"/>
      <c r="T22"/>
      <c r="U22"/>
      <c r="V22" s="188"/>
      <c r="Y22" s="188"/>
    </row>
    <row r="23" spans="2:25" x14ac:dyDescent="0.3">
      <c r="B23" s="186">
        <v>44805</v>
      </c>
      <c r="C23" s="227">
        <v>8.39</v>
      </c>
      <c r="D23" s="172">
        <f t="shared" si="0"/>
        <v>0.17507002801120453</v>
      </c>
      <c r="F23" s="193">
        <v>17094.349999999999</v>
      </c>
      <c r="G23" s="172">
        <f t="shared" si="1"/>
        <v>-3.7442354146841383E-2</v>
      </c>
      <c r="L23" t="s">
        <v>58</v>
      </c>
      <c r="M23">
        <v>1</v>
      </c>
      <c r="N23">
        <v>0.55051077648007896</v>
      </c>
      <c r="O23">
        <v>0.55051077648007896</v>
      </c>
      <c r="P23">
        <v>9.3827484550018312</v>
      </c>
      <c r="Q23">
        <v>3.3411863251926032E-3</v>
      </c>
      <c r="R23"/>
      <c r="S23"/>
      <c r="T23"/>
      <c r="U23"/>
      <c r="V23" s="188"/>
      <c r="Y23" s="188"/>
    </row>
    <row r="24" spans="2:25" x14ac:dyDescent="0.3">
      <c r="B24" s="186">
        <v>44835</v>
      </c>
      <c r="C24" s="227">
        <v>10.39</v>
      </c>
      <c r="D24" s="172">
        <f t="shared" si="0"/>
        <v>0.23837902264600719</v>
      </c>
      <c r="F24" s="193">
        <v>18012.2</v>
      </c>
      <c r="G24" s="172">
        <f t="shared" si="1"/>
        <v>5.3693179325332796E-2</v>
      </c>
      <c r="L24" t="s">
        <v>59</v>
      </c>
      <c r="M24">
        <v>57</v>
      </c>
      <c r="N24">
        <v>3.344341416574657</v>
      </c>
      <c r="O24">
        <v>5.8672656431134333E-2</v>
      </c>
      <c r="P24"/>
      <c r="Q24"/>
      <c r="R24"/>
      <c r="S24"/>
      <c r="T24"/>
      <c r="U24"/>
      <c r="V24" s="188"/>
      <c r="Y24" s="188"/>
    </row>
    <row r="25" spans="2:25" ht="15" thickBot="1" x14ac:dyDescent="0.35">
      <c r="B25" s="186">
        <v>44866</v>
      </c>
      <c r="C25" s="227">
        <v>7.89</v>
      </c>
      <c r="D25" s="172">
        <f t="shared" si="0"/>
        <v>-0.24061597690086634</v>
      </c>
      <c r="F25" s="193">
        <v>18758.349999999999</v>
      </c>
      <c r="G25" s="172">
        <f t="shared" si="1"/>
        <v>4.1424701035964295E-2</v>
      </c>
      <c r="L25" s="224" t="s">
        <v>60</v>
      </c>
      <c r="M25" s="224">
        <v>58</v>
      </c>
      <c r="N25" s="224">
        <v>3.894852193054736</v>
      </c>
      <c r="O25" s="224"/>
      <c r="P25" s="224"/>
      <c r="Q25" s="224"/>
      <c r="R25"/>
      <c r="S25"/>
      <c r="T25"/>
      <c r="U25"/>
      <c r="V25" s="188"/>
      <c r="Y25" s="188"/>
    </row>
    <row r="26" spans="2:25" ht="15" thickBot="1" x14ac:dyDescent="0.35">
      <c r="B26" s="186">
        <v>44896</v>
      </c>
      <c r="C26" s="227">
        <v>8.34</v>
      </c>
      <c r="D26" s="172">
        <f t="shared" si="0"/>
        <v>5.7034220532319324E-2</v>
      </c>
      <c r="F26" s="193">
        <v>18105.3</v>
      </c>
      <c r="G26" s="172">
        <f t="shared" si="1"/>
        <v>-3.4813829574562805E-2</v>
      </c>
      <c r="L26"/>
      <c r="M26"/>
      <c r="N26"/>
      <c r="O26"/>
      <c r="P26"/>
      <c r="Q26"/>
      <c r="R26"/>
      <c r="S26"/>
      <c r="T26"/>
      <c r="U26"/>
      <c r="V26" s="188"/>
      <c r="Y26" s="188"/>
    </row>
    <row r="27" spans="2:25" x14ac:dyDescent="0.3">
      <c r="B27" s="186">
        <v>44927</v>
      </c>
      <c r="C27" s="227">
        <v>5.05</v>
      </c>
      <c r="D27" s="172">
        <f t="shared" si="0"/>
        <v>-0.39448441247002397</v>
      </c>
      <c r="F27" s="193">
        <v>17662.150000000001</v>
      </c>
      <c r="G27" s="172">
        <f t="shared" si="1"/>
        <v>-2.4476258333195111E-2</v>
      </c>
      <c r="L27" s="225"/>
      <c r="M27" s="225" t="s">
        <v>61</v>
      </c>
      <c r="N27" s="225" t="s">
        <v>50</v>
      </c>
      <c r="O27" s="225" t="s">
        <v>62</v>
      </c>
      <c r="P27" s="225" t="s">
        <v>63</v>
      </c>
      <c r="Q27" s="225" t="s">
        <v>64</v>
      </c>
      <c r="R27" s="225" t="s">
        <v>65</v>
      </c>
      <c r="S27" s="225" t="s">
        <v>66</v>
      </c>
      <c r="T27" s="225" t="s">
        <v>67</v>
      </c>
      <c r="U27"/>
      <c r="V27" s="188"/>
      <c r="Y27" s="188"/>
    </row>
    <row r="28" spans="2:25" x14ac:dyDescent="0.3">
      <c r="B28" s="186">
        <v>44958</v>
      </c>
      <c r="C28" s="227">
        <v>2.71</v>
      </c>
      <c r="D28" s="172">
        <f t="shared" si="0"/>
        <v>-0.46336633663366333</v>
      </c>
      <c r="F28" s="193">
        <v>17303.95</v>
      </c>
      <c r="G28" s="172">
        <f t="shared" si="1"/>
        <v>-2.0280656658447582E-2</v>
      </c>
      <c r="L28" t="s">
        <v>68</v>
      </c>
      <c r="M28">
        <v>2.879051835166159E-2</v>
      </c>
      <c r="N28">
        <v>3.2084779721405887E-2</v>
      </c>
      <c r="O28">
        <v>0.89732635229699031</v>
      </c>
      <c r="P28">
        <v>0.37331933760041647</v>
      </c>
      <c r="Q28">
        <v>-3.5458144809414227E-2</v>
      </c>
      <c r="R28">
        <v>9.3039181512737407E-2</v>
      </c>
      <c r="S28">
        <v>-3.5458144809414227E-2</v>
      </c>
      <c r="T28">
        <v>9.3039181512737407E-2</v>
      </c>
      <c r="U28"/>
      <c r="V28" s="188"/>
      <c r="Y28" s="188"/>
    </row>
    <row r="29" spans="2:25" ht="15" thickBot="1" x14ac:dyDescent="0.35">
      <c r="B29" s="186">
        <v>44986</v>
      </c>
      <c r="C29" s="227">
        <v>2.67</v>
      </c>
      <c r="D29" s="172">
        <f t="shared" si="0"/>
        <v>-1.4760147601476037E-2</v>
      </c>
      <c r="F29" s="193">
        <v>17359.75</v>
      </c>
      <c r="G29" s="172">
        <f t="shared" si="1"/>
        <v>3.2246972512055549E-3</v>
      </c>
      <c r="L29" s="224" t="s">
        <v>69</v>
      </c>
      <c r="M29" s="224">
        <v>2.5407187517370384</v>
      </c>
      <c r="N29" s="224">
        <v>0.82945256830499359</v>
      </c>
      <c r="O29" s="224">
        <v>3.0631272345434515</v>
      </c>
      <c r="P29" s="224">
        <v>3.3411863251926292E-3</v>
      </c>
      <c r="Q29" s="224">
        <v>0.8797686335860746</v>
      </c>
      <c r="R29" s="224">
        <v>4.2016688698880023</v>
      </c>
      <c r="S29" s="224">
        <v>0.8797686335860746</v>
      </c>
      <c r="T29" s="224">
        <v>4.2016688698880023</v>
      </c>
      <c r="U29"/>
      <c r="V29" s="188"/>
      <c r="Y29" s="188"/>
    </row>
    <row r="30" spans="2:25" x14ac:dyDescent="0.3">
      <c r="B30" s="186">
        <v>45017</v>
      </c>
      <c r="C30" s="227">
        <v>2.5499999999999998</v>
      </c>
      <c r="D30" s="172">
        <f t="shared" si="0"/>
        <v>-4.49438202247191E-2</v>
      </c>
      <c r="F30" s="193">
        <v>18065</v>
      </c>
      <c r="G30" s="172">
        <f t="shared" si="1"/>
        <v>4.0625585045867663E-2</v>
      </c>
      <c r="L30"/>
      <c r="M30"/>
      <c r="N30"/>
      <c r="O30"/>
      <c r="P30"/>
      <c r="Q30"/>
      <c r="R30"/>
      <c r="S30"/>
      <c r="T30"/>
      <c r="U30"/>
      <c r="V30" s="188"/>
      <c r="Y30" s="188"/>
    </row>
    <row r="31" spans="2:25" x14ac:dyDescent="0.3">
      <c r="B31" s="186">
        <v>45047</v>
      </c>
      <c r="C31" s="227">
        <v>2.35</v>
      </c>
      <c r="D31" s="172">
        <f t="shared" si="0"/>
        <v>-7.8431372549019551E-2</v>
      </c>
      <c r="F31" s="193">
        <v>18534.400000000001</v>
      </c>
      <c r="G31" s="172">
        <f t="shared" si="1"/>
        <v>2.5983946858566309E-2</v>
      </c>
      <c r="L31"/>
      <c r="M31"/>
      <c r="N31"/>
      <c r="O31"/>
      <c r="P31"/>
      <c r="Q31"/>
      <c r="R31"/>
      <c r="S31"/>
      <c r="T31"/>
      <c r="V31" s="188"/>
      <c r="Y31" s="188"/>
    </row>
    <row r="32" spans="2:25" x14ac:dyDescent="0.3">
      <c r="B32" s="186">
        <v>45078</v>
      </c>
      <c r="C32" s="227">
        <v>2.63</v>
      </c>
      <c r="D32" s="172">
        <f t="shared" si="0"/>
        <v>0.11914893617021272</v>
      </c>
      <c r="F32" s="193">
        <v>19189.05</v>
      </c>
      <c r="G32" s="172">
        <f t="shared" si="1"/>
        <v>3.5320808874309328E-2</v>
      </c>
      <c r="L32"/>
      <c r="M32"/>
      <c r="N32"/>
      <c r="O32"/>
      <c r="P32"/>
      <c r="Q32"/>
      <c r="R32"/>
      <c r="S32"/>
      <c r="T32"/>
      <c r="V32" s="188"/>
      <c r="Y32" s="188"/>
    </row>
    <row r="33" spans="2:25" x14ac:dyDescent="0.3">
      <c r="B33" s="186">
        <v>45108</v>
      </c>
      <c r="C33" s="227">
        <v>2.93</v>
      </c>
      <c r="D33" s="172">
        <f t="shared" si="0"/>
        <v>0.11406844106463887</v>
      </c>
      <c r="F33" s="193">
        <v>19753.8</v>
      </c>
      <c r="G33" s="172">
        <f t="shared" si="1"/>
        <v>2.9430847280089489E-2</v>
      </c>
      <c r="V33" s="188"/>
      <c r="Y33" s="188"/>
    </row>
    <row r="34" spans="2:25" x14ac:dyDescent="0.3">
      <c r="B34" s="186">
        <v>45139</v>
      </c>
      <c r="C34" s="227">
        <v>2.66</v>
      </c>
      <c r="D34" s="172">
        <f t="shared" si="0"/>
        <v>-9.2150170648464202E-2</v>
      </c>
      <c r="F34" s="193">
        <v>19253.8</v>
      </c>
      <c r="G34" s="172">
        <f t="shared" si="1"/>
        <v>-2.5311585618969512E-2</v>
      </c>
      <c r="V34" s="188"/>
      <c r="Y34" s="188"/>
    </row>
    <row r="35" spans="2:25" x14ac:dyDescent="0.3">
      <c r="B35" s="186">
        <v>45170</v>
      </c>
      <c r="C35" s="227">
        <v>2.62</v>
      </c>
      <c r="D35" s="172">
        <f t="shared" si="0"/>
        <v>-1.5037593984962405E-2</v>
      </c>
      <c r="F35" s="193">
        <v>19638.3</v>
      </c>
      <c r="G35" s="172">
        <f t="shared" si="1"/>
        <v>1.9970083827608009E-2</v>
      </c>
      <c r="V35" s="188"/>
      <c r="Y35" s="188"/>
    </row>
    <row r="36" spans="2:25" x14ac:dyDescent="0.3">
      <c r="B36" s="186">
        <v>45200</v>
      </c>
      <c r="C36" s="227">
        <v>2.94</v>
      </c>
      <c r="D36" s="172">
        <f t="shared" si="0"/>
        <v>0.12213740458015265</v>
      </c>
      <c r="F36" s="193">
        <v>19079.599999999999</v>
      </c>
      <c r="G36" s="172">
        <f t="shared" si="1"/>
        <v>-2.844950937708457E-2</v>
      </c>
      <c r="V36" s="188"/>
      <c r="Y36" s="188"/>
    </row>
    <row r="37" spans="2:25" x14ac:dyDescent="0.3">
      <c r="B37" s="186">
        <v>45231</v>
      </c>
      <c r="C37" s="227">
        <v>2.81</v>
      </c>
      <c r="D37" s="172">
        <f t="shared" si="0"/>
        <v>-4.421768707482987E-2</v>
      </c>
      <c r="F37" s="193">
        <v>20133.150000000001</v>
      </c>
      <c r="G37" s="172">
        <f t="shared" si="1"/>
        <v>5.5218662865049728E-2</v>
      </c>
      <c r="V37" s="188"/>
      <c r="Y37" s="188"/>
    </row>
    <row r="38" spans="2:25" x14ac:dyDescent="0.3">
      <c r="B38" s="186">
        <v>45261</v>
      </c>
      <c r="C38" s="227">
        <v>4.67</v>
      </c>
      <c r="D38" s="172">
        <f t="shared" si="0"/>
        <v>0.66192170818505325</v>
      </c>
      <c r="F38" s="193">
        <v>21731.4</v>
      </c>
      <c r="G38" s="172">
        <f t="shared" si="1"/>
        <v>7.9384001013254268E-2</v>
      </c>
      <c r="V38" s="188"/>
      <c r="Y38" s="188"/>
    </row>
    <row r="39" spans="2:25" x14ac:dyDescent="0.3">
      <c r="B39" s="186">
        <v>45292</v>
      </c>
      <c r="C39" s="227">
        <v>5.52</v>
      </c>
      <c r="D39" s="172">
        <f t="shared" si="0"/>
        <v>0.18201284796573858</v>
      </c>
      <c r="F39" s="193">
        <v>21725.7</v>
      </c>
      <c r="G39" s="172">
        <f t="shared" si="1"/>
        <v>-2.6229327148741266E-4</v>
      </c>
      <c r="V39" s="188"/>
      <c r="Y39" s="188"/>
    </row>
    <row r="40" spans="2:25" x14ac:dyDescent="0.3">
      <c r="B40" s="186">
        <v>45323</v>
      </c>
      <c r="C40" s="227">
        <v>5.78</v>
      </c>
      <c r="D40" s="172">
        <f t="shared" ref="D40:D66" si="2">C40/C39-1</f>
        <v>4.7101449275362528E-2</v>
      </c>
      <c r="F40" s="193">
        <v>21982.799999999999</v>
      </c>
      <c r="G40" s="172">
        <f t="shared" si="1"/>
        <v>1.1833910990209695E-2</v>
      </c>
      <c r="V40" s="188"/>
      <c r="Y40" s="188"/>
    </row>
    <row r="41" spans="2:25" x14ac:dyDescent="0.3">
      <c r="B41" s="186">
        <v>45352</v>
      </c>
      <c r="C41" s="227">
        <v>5.38</v>
      </c>
      <c r="D41" s="172">
        <f t="shared" si="2"/>
        <v>-6.9204152249135009E-2</v>
      </c>
      <c r="F41" s="193">
        <v>22326.9</v>
      </c>
      <c r="G41" s="172">
        <f t="shared" si="1"/>
        <v>1.5653147005840973E-2</v>
      </c>
      <c r="V41" s="188"/>
      <c r="Y41" s="188"/>
    </row>
    <row r="42" spans="2:25" x14ac:dyDescent="0.3">
      <c r="B42" s="186">
        <v>45383</v>
      </c>
      <c r="C42" s="227">
        <v>5.22</v>
      </c>
      <c r="D42" s="172">
        <f t="shared" si="2"/>
        <v>-2.9739776951672847E-2</v>
      </c>
      <c r="F42" s="193">
        <v>22604.85</v>
      </c>
      <c r="G42" s="172">
        <f t="shared" si="1"/>
        <v>1.2449108474530624E-2</v>
      </c>
      <c r="V42" s="188"/>
      <c r="Y42" s="188"/>
    </row>
    <row r="43" spans="2:25" x14ac:dyDescent="0.3">
      <c r="B43" s="186">
        <v>45413</v>
      </c>
      <c r="C43" s="227">
        <v>4.6399999999999997</v>
      </c>
      <c r="D43" s="172">
        <f t="shared" si="2"/>
        <v>-0.11111111111111116</v>
      </c>
      <c r="F43" s="193">
        <v>22530.7</v>
      </c>
      <c r="G43" s="172">
        <f t="shared" si="1"/>
        <v>-3.2802694996869608E-3</v>
      </c>
      <c r="V43" s="188"/>
      <c r="Y43" s="188"/>
    </row>
    <row r="44" spans="2:25" x14ac:dyDescent="0.3">
      <c r="B44" s="186">
        <v>45444</v>
      </c>
      <c r="C44" s="227">
        <v>5.1100000000000003</v>
      </c>
      <c r="D44" s="172">
        <f t="shared" si="2"/>
        <v>0.10129310344827602</v>
      </c>
      <c r="F44" s="193">
        <v>24010.6</v>
      </c>
      <c r="G44" s="172">
        <f t="shared" si="1"/>
        <v>6.5683711558007341E-2</v>
      </c>
      <c r="V44" s="188"/>
      <c r="Y44" s="188"/>
    </row>
    <row r="45" spans="2:25" x14ac:dyDescent="0.3">
      <c r="B45" s="186">
        <v>45474</v>
      </c>
      <c r="C45" s="227">
        <v>9.39</v>
      </c>
      <c r="D45" s="172">
        <f t="shared" si="2"/>
        <v>0.83757338551859095</v>
      </c>
      <c r="F45" s="193">
        <v>24951.15</v>
      </c>
      <c r="G45" s="172">
        <f t="shared" si="1"/>
        <v>3.917228224200997E-2</v>
      </c>
      <c r="V45" s="188"/>
      <c r="Y45" s="188"/>
    </row>
    <row r="46" spans="2:25" x14ac:dyDescent="0.3">
      <c r="B46" s="186">
        <v>45505</v>
      </c>
      <c r="C46" s="227">
        <v>11.09</v>
      </c>
      <c r="D46" s="172">
        <f t="shared" si="2"/>
        <v>0.18104366347177847</v>
      </c>
      <c r="F46" s="193">
        <v>25235.9</v>
      </c>
      <c r="G46" s="172">
        <f t="shared" si="1"/>
        <v>1.141229963348378E-2</v>
      </c>
      <c r="V46" s="188"/>
      <c r="Y46" s="188"/>
    </row>
    <row r="47" spans="2:25" x14ac:dyDescent="0.3">
      <c r="B47" s="186">
        <v>45536</v>
      </c>
      <c r="C47" s="227">
        <v>17.82</v>
      </c>
      <c r="D47" s="172">
        <f t="shared" si="2"/>
        <v>0.60685302073940495</v>
      </c>
      <c r="F47" s="193">
        <v>25810.85</v>
      </c>
      <c r="G47" s="172">
        <f t="shared" si="1"/>
        <v>2.2783019428670892E-2</v>
      </c>
      <c r="V47" s="188"/>
      <c r="Y47" s="188"/>
    </row>
    <row r="48" spans="2:25" x14ac:dyDescent="0.3">
      <c r="B48" s="186">
        <v>45566</v>
      </c>
      <c r="C48" s="227">
        <v>15.63</v>
      </c>
      <c r="D48" s="172">
        <f t="shared" si="2"/>
        <v>-0.12289562289562284</v>
      </c>
      <c r="F48" s="193">
        <v>24205.35</v>
      </c>
      <c r="G48" s="172">
        <f t="shared" si="1"/>
        <v>-6.2202523357425266E-2</v>
      </c>
      <c r="V48" s="188"/>
      <c r="Y48" s="188"/>
    </row>
    <row r="49" spans="2:25" x14ac:dyDescent="0.3">
      <c r="B49" s="186">
        <v>45597</v>
      </c>
      <c r="C49" s="227">
        <v>16.38</v>
      </c>
      <c r="D49" s="172">
        <f t="shared" si="2"/>
        <v>4.7984644913627417E-2</v>
      </c>
      <c r="F49" s="193">
        <v>24131.1</v>
      </c>
      <c r="G49" s="172">
        <f t="shared" si="1"/>
        <v>-3.0675036717089377E-3</v>
      </c>
      <c r="V49" s="188"/>
      <c r="Y49" s="188"/>
    </row>
    <row r="50" spans="2:25" x14ac:dyDescent="0.3">
      <c r="B50" s="186">
        <v>45627</v>
      </c>
      <c r="C50" s="227">
        <v>15.87</v>
      </c>
      <c r="D50" s="172">
        <f t="shared" si="2"/>
        <v>-3.1135531135531136E-2</v>
      </c>
      <c r="F50" s="193">
        <v>23644.799999999999</v>
      </c>
      <c r="G50" s="172">
        <f t="shared" si="1"/>
        <v>-2.0152417419844082E-2</v>
      </c>
      <c r="V50" s="188"/>
      <c r="Y50" s="188"/>
    </row>
    <row r="51" spans="2:25" x14ac:dyDescent="0.3">
      <c r="B51" s="186">
        <v>45689</v>
      </c>
      <c r="C51" s="227">
        <v>11.31</v>
      </c>
      <c r="D51" s="172">
        <f t="shared" si="2"/>
        <v>-0.2873345935727788</v>
      </c>
      <c r="F51" s="193">
        <v>23508.400000000001</v>
      </c>
      <c r="G51" s="172">
        <f t="shared" si="1"/>
        <v>-5.7687102449586192E-3</v>
      </c>
      <c r="V51" s="188"/>
      <c r="Y51" s="188"/>
    </row>
    <row r="52" spans="2:25" x14ac:dyDescent="0.3">
      <c r="B52" s="186">
        <v>45717</v>
      </c>
      <c r="C52" s="227">
        <v>13.06</v>
      </c>
      <c r="D52" s="172">
        <f t="shared" si="2"/>
        <v>0.15473032714412027</v>
      </c>
      <c r="F52" s="193">
        <v>22124.7</v>
      </c>
      <c r="G52" s="172">
        <f t="shared" si="1"/>
        <v>-5.8859811811948104E-2</v>
      </c>
      <c r="V52" s="188"/>
      <c r="Y52" s="188"/>
    </row>
    <row r="53" spans="2:25" x14ac:dyDescent="0.3">
      <c r="B53" s="186">
        <v>45748</v>
      </c>
      <c r="C53" s="227">
        <v>12.23</v>
      </c>
      <c r="D53" s="172">
        <f t="shared" si="2"/>
        <v>-6.3552833078101112E-2</v>
      </c>
      <c r="F53" s="193">
        <v>23519.35</v>
      </c>
      <c r="G53" s="172">
        <f t="shared" si="1"/>
        <v>6.3035882972424462E-2</v>
      </c>
      <c r="V53" s="188"/>
      <c r="Y53" s="188"/>
    </row>
    <row r="54" spans="2:25" x14ac:dyDescent="0.3">
      <c r="B54" s="186">
        <v>45778</v>
      </c>
      <c r="C54" s="227">
        <v>12.52</v>
      </c>
      <c r="D54" s="172">
        <f t="shared" si="2"/>
        <v>2.3712183156173294E-2</v>
      </c>
      <c r="F54" s="193">
        <v>24334.2</v>
      </c>
      <c r="G54" s="172">
        <f t="shared" si="1"/>
        <v>3.4645940470293679E-2</v>
      </c>
      <c r="V54" s="188"/>
      <c r="Y54" s="188"/>
    </row>
    <row r="55" spans="2:25" x14ac:dyDescent="0.3">
      <c r="B55" s="186">
        <v>45809</v>
      </c>
      <c r="C55" s="227">
        <v>12.32</v>
      </c>
      <c r="D55" s="172">
        <f t="shared" si="2"/>
        <v>-1.5974440894568676E-2</v>
      </c>
      <c r="F55" s="193">
        <v>24750.7</v>
      </c>
      <c r="G55" s="172">
        <f t="shared" si="1"/>
        <v>1.7115828751304685E-2</v>
      </c>
      <c r="V55" s="188"/>
      <c r="Y55" s="188"/>
    </row>
    <row r="56" spans="2:25" x14ac:dyDescent="0.3">
      <c r="B56" s="186">
        <v>45839</v>
      </c>
      <c r="C56" s="227">
        <v>15.65</v>
      </c>
      <c r="D56" s="172">
        <f t="shared" si="2"/>
        <v>0.27029220779220786</v>
      </c>
      <c r="F56" s="193">
        <v>25517.05</v>
      </c>
      <c r="G56" s="172">
        <f t="shared" si="1"/>
        <v>3.0962760649193788E-2</v>
      </c>
      <c r="V56" s="188"/>
      <c r="Y56" s="188"/>
    </row>
    <row r="57" spans="2:25" x14ac:dyDescent="0.3">
      <c r="B57" s="186">
        <v>45870</v>
      </c>
      <c r="C57" s="227">
        <v>13.11</v>
      </c>
      <c r="D57" s="172">
        <f t="shared" si="2"/>
        <v>-0.16230031948881796</v>
      </c>
      <c r="F57" s="193">
        <v>24768.35</v>
      </c>
      <c r="G57" s="172">
        <f t="shared" si="1"/>
        <v>-2.9341166004691055E-2</v>
      </c>
      <c r="V57" s="188"/>
      <c r="Y57" s="188"/>
    </row>
    <row r="58" spans="2:25" x14ac:dyDescent="0.3">
      <c r="B58" s="186">
        <v>45901</v>
      </c>
      <c r="C58" s="227">
        <v>12.34</v>
      </c>
      <c r="D58" s="172">
        <f t="shared" si="2"/>
        <v>-5.8733790999237145E-2</v>
      </c>
      <c r="F58" s="193">
        <v>24426.85</v>
      </c>
      <c r="G58" s="172">
        <f t="shared" si="1"/>
        <v>-1.3787757359694952E-2</v>
      </c>
      <c r="V58" s="188"/>
      <c r="Y58" s="188"/>
    </row>
    <row r="59" spans="2:25" x14ac:dyDescent="0.3">
      <c r="B59" s="186">
        <v>45931</v>
      </c>
      <c r="C59" s="227">
        <v>11.62</v>
      </c>
      <c r="D59" s="172">
        <f t="shared" si="2"/>
        <v>-5.8346839546191354E-2</v>
      </c>
      <c r="F59" s="193">
        <v>24611.1</v>
      </c>
      <c r="G59" s="172">
        <f t="shared" si="1"/>
        <v>7.5429291947182175E-3</v>
      </c>
      <c r="V59" s="188"/>
      <c r="Y59" s="188"/>
    </row>
    <row r="60" spans="2:25" x14ac:dyDescent="0.3">
      <c r="B60" s="186">
        <v>45962</v>
      </c>
      <c r="C60" s="227">
        <v>9.9</v>
      </c>
      <c r="D60" s="172">
        <f t="shared" si="2"/>
        <v>-0.14802065404475029</v>
      </c>
      <c r="F60" s="193">
        <v>25722.1</v>
      </c>
      <c r="G60" s="172">
        <f t="shared" si="1"/>
        <v>4.5142232569856722E-2</v>
      </c>
      <c r="V60" s="188"/>
      <c r="Y60" s="188"/>
    </row>
    <row r="61" spans="2:25" x14ac:dyDescent="0.3">
      <c r="B61" s="186">
        <v>45992</v>
      </c>
      <c r="C61" s="227">
        <v>9.5299999999999994</v>
      </c>
      <c r="D61" s="172">
        <f t="shared" si="2"/>
        <v>-3.7373737373737503E-2</v>
      </c>
      <c r="F61" s="193">
        <v>26202.95</v>
      </c>
      <c r="G61" s="172">
        <f t="shared" si="1"/>
        <v>1.8694041310779452E-2</v>
      </c>
      <c r="V61" s="188"/>
      <c r="Y61" s="188"/>
    </row>
    <row r="62" spans="2:25" x14ac:dyDescent="0.3">
      <c r="B62" s="186">
        <v>46023</v>
      </c>
      <c r="C62" s="227">
        <v>10.63</v>
      </c>
      <c r="D62" s="172">
        <f t="shared" si="2"/>
        <v>0.11542497376705163</v>
      </c>
      <c r="F62" s="193">
        <v>26129.599999999999</v>
      </c>
      <c r="G62" s="172">
        <f t="shared" si="1"/>
        <v>-2.7993031318993555E-3</v>
      </c>
      <c r="V62" s="188"/>
      <c r="Y62" s="188"/>
    </row>
    <row r="63" spans="2:25" x14ac:dyDescent="0.3">
      <c r="B63" s="186">
        <v>46054</v>
      </c>
      <c r="C63" s="227">
        <v>9.92</v>
      </c>
      <c r="D63" s="172">
        <f t="shared" si="2"/>
        <v>-6.6792097836312347E-2</v>
      </c>
      <c r="F63" s="193">
        <v>25320.65</v>
      </c>
      <c r="G63" s="172">
        <f t="shared" si="1"/>
        <v>-3.0959142122343852E-2</v>
      </c>
      <c r="V63" s="188"/>
      <c r="Y63" s="188"/>
    </row>
    <row r="64" spans="2:25" x14ac:dyDescent="0.3">
      <c r="B64" s="186">
        <v>46082</v>
      </c>
      <c r="C64" s="227">
        <v>7.57</v>
      </c>
      <c r="D64" s="172">
        <f t="shared" si="2"/>
        <v>-0.23689516129032251</v>
      </c>
      <c r="F64" s="193">
        <v>25178.65</v>
      </c>
      <c r="G64" s="172">
        <f t="shared" si="1"/>
        <v>-5.6080708828565307E-3</v>
      </c>
      <c r="V64" s="188"/>
      <c r="Y64" s="188"/>
    </row>
    <row r="65" spans="2:25" x14ac:dyDescent="0.3">
      <c r="B65" s="186">
        <v>46113</v>
      </c>
      <c r="C65" s="227">
        <v>8.2100000000000009</v>
      </c>
      <c r="D65" s="172">
        <f t="shared" si="2"/>
        <v>8.4544253632760968E-2</v>
      </c>
      <c r="F65" s="193">
        <v>22331.4</v>
      </c>
      <c r="G65" s="172">
        <f t="shared" si="1"/>
        <v>-0.11308191662380629</v>
      </c>
      <c r="V65" s="188"/>
      <c r="Y65" s="188"/>
    </row>
    <row r="66" spans="2:25" x14ac:dyDescent="0.3">
      <c r="B66" s="186">
        <v>46118</v>
      </c>
      <c r="C66" s="227">
        <v>8.4600000000000009</v>
      </c>
      <c r="D66" s="172">
        <f t="shared" si="2"/>
        <v>3.0450669914738215E-2</v>
      </c>
      <c r="F66" s="193">
        <v>22713.1</v>
      </c>
      <c r="G66" s="172">
        <f t="shared" si="1"/>
        <v>1.7092524427487543E-2</v>
      </c>
      <c r="V66" s="188"/>
      <c r="Y66" s="188"/>
    </row>
    <row r="67" spans="2:25" x14ac:dyDescent="0.3">
      <c r="B67" s="174"/>
      <c r="C67" s="193"/>
      <c r="D67" s="172"/>
      <c r="F67" s="193"/>
      <c r="G67" s="172"/>
      <c r="V67" s="188"/>
    </row>
    <row r="68" spans="2:25" x14ac:dyDescent="0.3">
      <c r="B68" s="174"/>
      <c r="C68" s="193"/>
      <c r="D68" s="172"/>
      <c r="F68" s="193"/>
      <c r="G68" s="172"/>
    </row>
    <row r="69" spans="2:25" x14ac:dyDescent="0.3">
      <c r="B69" s="174"/>
      <c r="C69" s="193"/>
      <c r="D69" s="172"/>
      <c r="F69" s="193"/>
      <c r="G69" s="172"/>
    </row>
    <row r="70" spans="2:25" x14ac:dyDescent="0.3">
      <c r="B70" s="174"/>
      <c r="C70" s="193"/>
      <c r="D70" s="172"/>
      <c r="F70" s="193"/>
      <c r="G70" s="172"/>
    </row>
    <row r="71" spans="2:25" x14ac:dyDescent="0.3">
      <c r="B71" s="174"/>
      <c r="C71" s="193"/>
      <c r="D71" s="172"/>
      <c r="F71" s="193"/>
      <c r="G71" s="172"/>
    </row>
    <row r="72" spans="2:25" x14ac:dyDescent="0.3">
      <c r="B72" s="174"/>
      <c r="C72" s="193"/>
      <c r="D72" s="172"/>
      <c r="F72" s="193"/>
      <c r="G72" s="172"/>
    </row>
    <row r="73" spans="2:25" x14ac:dyDescent="0.3">
      <c r="B73" s="174"/>
      <c r="C73" s="193"/>
      <c r="D73" s="172"/>
      <c r="F73" s="193"/>
      <c r="G73" s="172"/>
    </row>
    <row r="74" spans="2:25" x14ac:dyDescent="0.3">
      <c r="B74" s="174"/>
      <c r="C74" s="193"/>
      <c r="D74" s="172"/>
      <c r="F74" s="193"/>
      <c r="G74" s="172"/>
    </row>
    <row r="75" spans="2:25" x14ac:dyDescent="0.3">
      <c r="B75" s="174"/>
      <c r="C75" s="193"/>
      <c r="D75" s="172"/>
      <c r="F75" s="193"/>
      <c r="G75" s="172"/>
    </row>
    <row r="76" spans="2:25" x14ac:dyDescent="0.3">
      <c r="B76" s="174"/>
      <c r="C76" s="193"/>
      <c r="D76" s="172"/>
      <c r="F76" s="193"/>
      <c r="G76" s="172"/>
    </row>
    <row r="77" spans="2:25" x14ac:dyDescent="0.3">
      <c r="B77" s="174"/>
      <c r="C77" s="193"/>
      <c r="D77" s="172"/>
      <c r="F77" s="193"/>
      <c r="G77" s="172"/>
    </row>
    <row r="78" spans="2:25" x14ac:dyDescent="0.3">
      <c r="B78" s="174"/>
      <c r="C78" s="193"/>
      <c r="D78" s="172"/>
      <c r="F78" s="193"/>
      <c r="G78" s="172"/>
    </row>
    <row r="79" spans="2:25" x14ac:dyDescent="0.3">
      <c r="B79" s="174"/>
      <c r="C79" s="193"/>
      <c r="D79" s="172"/>
      <c r="F79" s="193"/>
      <c r="G79" s="172"/>
    </row>
    <row r="80" spans="2:25" x14ac:dyDescent="0.3">
      <c r="B80" s="174"/>
      <c r="C80" s="193"/>
      <c r="D80" s="172"/>
      <c r="F80" s="193"/>
      <c r="G80" s="172"/>
    </row>
    <row r="81" spans="2:7" x14ac:dyDescent="0.3">
      <c r="B81" s="174"/>
      <c r="C81" s="193"/>
      <c r="D81" s="172"/>
      <c r="F81" s="193"/>
      <c r="G81" s="172"/>
    </row>
    <row r="82" spans="2:7" x14ac:dyDescent="0.3">
      <c r="B82" s="174"/>
      <c r="C82" s="193"/>
      <c r="D82" s="172"/>
      <c r="F82" s="193"/>
      <c r="G82" s="172"/>
    </row>
    <row r="83" spans="2:7" x14ac:dyDescent="0.3">
      <c r="B83" s="174"/>
      <c r="C83" s="193"/>
      <c r="D83" s="172"/>
      <c r="F83" s="193"/>
      <c r="G83" s="172"/>
    </row>
    <row r="84" spans="2:7" x14ac:dyDescent="0.3">
      <c r="B84" s="174"/>
      <c r="C84" s="193"/>
      <c r="D84" s="172"/>
      <c r="F84" s="193"/>
      <c r="G84" s="172"/>
    </row>
    <row r="85" spans="2:7" x14ac:dyDescent="0.3">
      <c r="B85" s="174"/>
      <c r="C85" s="193"/>
      <c r="D85" s="172"/>
      <c r="F85" s="193"/>
      <c r="G85" s="172"/>
    </row>
    <row r="86" spans="2:7" x14ac:dyDescent="0.3">
      <c r="B86" s="174"/>
      <c r="C86" s="193"/>
      <c r="D86" s="172"/>
      <c r="F86" s="193"/>
      <c r="G86" s="172"/>
    </row>
    <row r="87" spans="2:7" x14ac:dyDescent="0.3">
      <c r="B87" s="174"/>
      <c r="C87" s="193"/>
      <c r="D87" s="172"/>
      <c r="F87" s="193"/>
      <c r="G87" s="172"/>
    </row>
    <row r="88" spans="2:7" x14ac:dyDescent="0.3">
      <c r="B88" s="174"/>
      <c r="C88" s="193"/>
      <c r="D88" s="172"/>
      <c r="F88" s="193"/>
      <c r="G88" s="172"/>
    </row>
    <row r="89" spans="2:7" x14ac:dyDescent="0.3">
      <c r="B89" s="174"/>
      <c r="C89" s="193"/>
      <c r="D89" s="172"/>
      <c r="F89" s="193"/>
      <c r="G89" s="172"/>
    </row>
    <row r="90" spans="2:7" x14ac:dyDescent="0.3">
      <c r="B90" s="174"/>
      <c r="C90" s="193"/>
      <c r="D90" s="172"/>
      <c r="F90" s="193"/>
      <c r="G90" s="172"/>
    </row>
    <row r="91" spans="2:7" x14ac:dyDescent="0.3">
      <c r="B91" s="174"/>
      <c r="C91" s="193"/>
      <c r="D91" s="172"/>
      <c r="F91" s="193"/>
      <c r="G91" s="172"/>
    </row>
    <row r="92" spans="2:7" x14ac:dyDescent="0.3">
      <c r="B92" s="174"/>
      <c r="C92" s="193"/>
      <c r="D92" s="172"/>
      <c r="F92" s="193"/>
      <c r="G92" s="172"/>
    </row>
    <row r="93" spans="2:7" x14ac:dyDescent="0.3">
      <c r="B93" s="174"/>
      <c r="C93" s="193"/>
      <c r="D93" s="172"/>
      <c r="F93" s="193"/>
      <c r="G93" s="172"/>
    </row>
    <row r="94" spans="2:7" x14ac:dyDescent="0.3">
      <c r="B94" s="174"/>
      <c r="C94" s="193"/>
      <c r="D94" s="172"/>
      <c r="F94" s="193"/>
      <c r="G94" s="172"/>
    </row>
    <row r="95" spans="2:7" x14ac:dyDescent="0.3">
      <c r="B95" s="174"/>
      <c r="C95" s="193"/>
      <c r="D95" s="172"/>
      <c r="F95" s="193"/>
      <c r="G95" s="172"/>
    </row>
    <row r="96" spans="2:7" x14ac:dyDescent="0.3">
      <c r="B96" s="174"/>
      <c r="C96" s="193"/>
      <c r="D96" s="172"/>
      <c r="F96" s="193"/>
      <c r="G96" s="172"/>
    </row>
    <row r="97" spans="2:7" x14ac:dyDescent="0.3">
      <c r="B97" s="174"/>
      <c r="C97" s="193"/>
      <c r="D97" s="172"/>
      <c r="F97" s="193"/>
      <c r="G97" s="172"/>
    </row>
    <row r="98" spans="2:7" x14ac:dyDescent="0.3">
      <c r="B98" s="174"/>
      <c r="C98" s="193"/>
      <c r="D98" s="172"/>
      <c r="F98" s="193"/>
      <c r="G98" s="172"/>
    </row>
    <row r="99" spans="2:7" x14ac:dyDescent="0.3">
      <c r="B99" s="174"/>
      <c r="C99" s="193"/>
      <c r="D99" s="172"/>
      <c r="F99" s="193"/>
      <c r="G99" s="172"/>
    </row>
    <row r="100" spans="2:7" x14ac:dyDescent="0.3">
      <c r="B100" s="174"/>
      <c r="C100" s="193"/>
      <c r="D100" s="172"/>
      <c r="F100" s="193"/>
      <c r="G100" s="172"/>
    </row>
    <row r="101" spans="2:7" x14ac:dyDescent="0.3">
      <c r="B101" s="174"/>
      <c r="C101" s="193"/>
      <c r="D101" s="172"/>
      <c r="F101" s="193"/>
      <c r="G101" s="172"/>
    </row>
    <row r="102" spans="2:7" x14ac:dyDescent="0.3">
      <c r="B102" s="174"/>
      <c r="C102" s="193"/>
      <c r="D102" s="172"/>
      <c r="F102" s="193"/>
      <c r="G102" s="172"/>
    </row>
    <row r="103" spans="2:7" x14ac:dyDescent="0.3">
      <c r="B103" s="174"/>
      <c r="C103" s="193"/>
      <c r="D103" s="172"/>
      <c r="F103" s="193"/>
      <c r="G103" s="172"/>
    </row>
    <row r="104" spans="2:7" x14ac:dyDescent="0.3">
      <c r="B104" s="174"/>
      <c r="C104" s="193"/>
      <c r="D104" s="172"/>
      <c r="F104" s="193"/>
      <c r="G104" s="172"/>
    </row>
    <row r="105" spans="2:7" x14ac:dyDescent="0.3">
      <c r="B105" s="174"/>
      <c r="C105" s="193"/>
      <c r="D105" s="172"/>
      <c r="F105" s="193"/>
      <c r="G105" s="172"/>
    </row>
    <row r="106" spans="2:7" x14ac:dyDescent="0.3">
      <c r="B106" s="174"/>
      <c r="C106" s="193"/>
      <c r="D106" s="172"/>
      <c r="F106" s="193"/>
      <c r="G106" s="172"/>
    </row>
    <row r="107" spans="2:7" x14ac:dyDescent="0.3">
      <c r="B107" s="174"/>
      <c r="C107" s="193"/>
      <c r="D107" s="172"/>
      <c r="F107" s="193"/>
      <c r="G107" s="172"/>
    </row>
    <row r="108" spans="2:7" x14ac:dyDescent="0.3">
      <c r="B108" s="174"/>
      <c r="C108" s="193"/>
      <c r="D108" s="172"/>
      <c r="F108" s="193"/>
      <c r="G108" s="172"/>
    </row>
    <row r="109" spans="2:7" x14ac:dyDescent="0.3">
      <c r="B109" s="174"/>
      <c r="C109" s="193"/>
      <c r="D109" s="172"/>
      <c r="F109" s="193"/>
      <c r="G109" s="172"/>
    </row>
    <row r="110" spans="2:7" x14ac:dyDescent="0.3">
      <c r="B110" s="174"/>
      <c r="C110" s="193"/>
      <c r="D110" s="172"/>
      <c r="F110" s="193"/>
      <c r="G110" s="172"/>
    </row>
    <row r="111" spans="2:7" x14ac:dyDescent="0.3">
      <c r="B111" s="174"/>
      <c r="C111" s="193"/>
      <c r="D111" s="172"/>
      <c r="F111" s="193"/>
      <c r="G111" s="172"/>
    </row>
    <row r="112" spans="2:7" x14ac:dyDescent="0.3">
      <c r="B112" s="174"/>
      <c r="C112" s="193"/>
      <c r="D112" s="172"/>
      <c r="F112" s="193"/>
      <c r="G112" s="172"/>
    </row>
    <row r="113" spans="2:7" x14ac:dyDescent="0.3">
      <c r="B113" s="174"/>
      <c r="C113" s="193"/>
      <c r="D113" s="172"/>
      <c r="F113" s="193"/>
      <c r="G113" s="172"/>
    </row>
    <row r="114" spans="2:7" x14ac:dyDescent="0.3">
      <c r="B114" s="174"/>
      <c r="C114" s="185"/>
    </row>
    <row r="115" spans="2:7" x14ac:dyDescent="0.3">
      <c r="B115" s="174"/>
      <c r="C115" s="185"/>
    </row>
  </sheetData>
  <mergeCells count="3">
    <mergeCell ref="B4:D4"/>
    <mergeCell ref="F4:G4"/>
    <mergeCell ref="I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6709-4AD7-48DC-83C2-E2518BA0F576}">
  <dimension ref="B2:G31"/>
  <sheetViews>
    <sheetView showGridLines="0" workbookViewId="0">
      <selection activeCell="G7" sqref="G7"/>
    </sheetView>
  </sheetViews>
  <sheetFormatPr defaultColWidth="8.88671875" defaultRowHeight="14.4" x14ac:dyDescent="0.3"/>
  <cols>
    <col min="1" max="1" width="1.88671875" style="124" customWidth="1"/>
    <col min="2" max="2" width="16.6640625" style="124" bestFit="1" customWidth="1"/>
    <col min="3" max="3" width="7.6640625" style="124" bestFit="1" customWidth="1"/>
    <col min="4" max="4" width="8.88671875" style="124"/>
    <col min="5" max="5" width="18.109375" style="124" bestFit="1" customWidth="1"/>
    <col min="6" max="6" width="8.88671875" style="124"/>
    <col min="7" max="7" width="7.109375" style="124" bestFit="1" customWidth="1"/>
    <col min="8" max="16384" width="8.88671875" style="124"/>
  </cols>
  <sheetData>
    <row r="2" spans="2:7" x14ac:dyDescent="0.3">
      <c r="B2" s="184" t="s">
        <v>79</v>
      </c>
      <c r="C2" s="184"/>
      <c r="D2" s="184"/>
      <c r="E2" s="184"/>
      <c r="F2" s="184"/>
      <c r="G2" s="184"/>
    </row>
    <row r="4" spans="2:7" x14ac:dyDescent="0.3">
      <c r="B4" s="179" t="s">
        <v>80</v>
      </c>
      <c r="C4" s="183" t="s">
        <v>81</v>
      </c>
    </row>
    <row r="5" spans="2:7" x14ac:dyDescent="0.3">
      <c r="B5" s="60">
        <v>2000</v>
      </c>
      <c r="C5" s="232">
        <v>-0.14649999999999999</v>
      </c>
      <c r="E5" s="124" t="s">
        <v>82</v>
      </c>
      <c r="G5" s="129">
        <f>AVERAGE(C5:C30)</f>
        <v>0.1514923076923077</v>
      </c>
    </row>
    <row r="6" spans="2:7" ht="16.2" x14ac:dyDescent="0.3">
      <c r="B6" s="60">
        <v>2001</v>
      </c>
      <c r="C6" s="232">
        <v>-0.1618</v>
      </c>
      <c r="E6" s="124" t="s">
        <v>83</v>
      </c>
      <c r="G6" s="182" t="s">
        <v>84</v>
      </c>
    </row>
    <row r="7" spans="2:7" x14ac:dyDescent="0.3">
      <c r="B7" s="60">
        <v>2002</v>
      </c>
      <c r="C7" s="232">
        <v>3.2500000000000001E-2</v>
      </c>
      <c r="E7" s="181" t="s">
        <v>85</v>
      </c>
      <c r="F7" s="181"/>
      <c r="G7" s="180">
        <f>SUM(G5:G6)</f>
        <v>0.1514923076923077</v>
      </c>
    </row>
    <row r="8" spans="2:7" x14ac:dyDescent="0.3">
      <c r="B8" s="60">
        <v>2003</v>
      </c>
      <c r="C8" s="232">
        <v>0.71900000000000008</v>
      </c>
    </row>
    <row r="9" spans="2:7" x14ac:dyDescent="0.3">
      <c r="B9" s="60">
        <v>2004</v>
      </c>
      <c r="C9" s="232">
        <v>0.10679999999999999</v>
      </c>
    </row>
    <row r="10" spans="2:7" x14ac:dyDescent="0.3">
      <c r="B10" s="60">
        <v>2005</v>
      </c>
      <c r="C10" s="232">
        <v>0.36340000000000006</v>
      </c>
    </row>
    <row r="11" spans="2:7" x14ac:dyDescent="0.3">
      <c r="B11" s="60">
        <v>2006</v>
      </c>
      <c r="C11" s="232">
        <v>0.39829999999999999</v>
      </c>
    </row>
    <row r="12" spans="2:7" x14ac:dyDescent="0.3">
      <c r="B12" s="60">
        <v>2007</v>
      </c>
      <c r="C12" s="232">
        <v>0.54770000000000008</v>
      </c>
    </row>
    <row r="13" spans="2:7" x14ac:dyDescent="0.3">
      <c r="B13" s="60">
        <v>2008</v>
      </c>
      <c r="C13" s="232">
        <v>-0.51790000000000003</v>
      </c>
    </row>
    <row r="14" spans="2:7" x14ac:dyDescent="0.3">
      <c r="B14" s="60">
        <v>2009</v>
      </c>
      <c r="C14" s="232">
        <v>0.75760000000000005</v>
      </c>
    </row>
    <row r="15" spans="2:7" x14ac:dyDescent="0.3">
      <c r="B15" s="60">
        <v>2010</v>
      </c>
      <c r="C15" s="232">
        <v>0.17949999999999999</v>
      </c>
    </row>
    <row r="16" spans="2:7" x14ac:dyDescent="0.3">
      <c r="B16" s="60">
        <v>2011</v>
      </c>
      <c r="C16" s="232">
        <v>-0.2462</v>
      </c>
    </row>
    <row r="17" spans="2:3" x14ac:dyDescent="0.3">
      <c r="B17" s="60">
        <v>2012</v>
      </c>
      <c r="C17" s="232">
        <v>0.27699999999999997</v>
      </c>
    </row>
    <row r="18" spans="2:3" x14ac:dyDescent="0.3">
      <c r="B18" s="60">
        <v>2013</v>
      </c>
      <c r="C18" s="232">
        <v>6.7599999999999993E-2</v>
      </c>
    </row>
    <row r="19" spans="2:3" x14ac:dyDescent="0.3">
      <c r="B19" s="60">
        <v>2014</v>
      </c>
      <c r="C19" s="232">
        <v>0.31390000000000001</v>
      </c>
    </row>
    <row r="20" spans="2:3" x14ac:dyDescent="0.3">
      <c r="B20" s="60">
        <v>2015</v>
      </c>
      <c r="C20" s="232">
        <v>-4.0599999999999997E-2</v>
      </c>
    </row>
    <row r="21" spans="2:3" x14ac:dyDescent="0.3">
      <c r="B21" s="60">
        <v>2016</v>
      </c>
      <c r="C21" s="232">
        <v>3.0099999999999998E-2</v>
      </c>
    </row>
    <row r="22" spans="2:3" x14ac:dyDescent="0.3">
      <c r="B22" s="60">
        <v>2017</v>
      </c>
      <c r="C22" s="232">
        <v>0.28649999999999998</v>
      </c>
    </row>
    <row r="23" spans="2:3" x14ac:dyDescent="0.3">
      <c r="B23" s="60">
        <v>2018</v>
      </c>
      <c r="C23" s="232">
        <v>3.15E-2</v>
      </c>
    </row>
    <row r="24" spans="2:3" x14ac:dyDescent="0.3">
      <c r="B24" s="60">
        <v>2019</v>
      </c>
      <c r="C24" s="232">
        <v>0.1202</v>
      </c>
    </row>
    <row r="25" spans="2:3" x14ac:dyDescent="0.3">
      <c r="B25" s="60">
        <v>2020</v>
      </c>
      <c r="C25" s="232">
        <v>0.14899999999999999</v>
      </c>
    </row>
    <row r="26" spans="2:3" x14ac:dyDescent="0.3">
      <c r="B26" s="60">
        <v>2021</v>
      </c>
      <c r="C26" s="232">
        <v>0.2412</v>
      </c>
    </row>
    <row r="27" spans="2:3" x14ac:dyDescent="0.3">
      <c r="B27" s="60">
        <v>2022</v>
      </c>
      <c r="C27" s="232">
        <v>4.3200000000000002E-2</v>
      </c>
    </row>
    <row r="28" spans="2:3" x14ac:dyDescent="0.3">
      <c r="B28" s="60">
        <v>2023</v>
      </c>
      <c r="C28" s="232">
        <v>0.19420000000000001</v>
      </c>
    </row>
    <row r="29" spans="2:3" x14ac:dyDescent="0.3">
      <c r="B29" s="60">
        <v>2024</v>
      </c>
      <c r="C29" s="232">
        <v>8.7499999999999994E-2</v>
      </c>
    </row>
    <row r="30" spans="2:3" x14ac:dyDescent="0.3">
      <c r="B30" s="60">
        <v>2025</v>
      </c>
      <c r="C30" s="232">
        <v>0.1051</v>
      </c>
    </row>
    <row r="31" spans="2:3" x14ac:dyDescent="0.3">
      <c r="B31" s="60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A652-C9F0-4636-BAE5-4FD1459B65E6}">
  <dimension ref="B2:G8"/>
  <sheetViews>
    <sheetView showGridLines="0" workbookViewId="0">
      <selection activeCell="E3" sqref="E3"/>
    </sheetView>
  </sheetViews>
  <sheetFormatPr defaultColWidth="8.88671875" defaultRowHeight="14.4" x14ac:dyDescent="0.3"/>
  <cols>
    <col min="1" max="1" width="1.88671875" style="124" customWidth="1"/>
    <col min="2" max="2" width="5.44140625" style="124" bestFit="1" customWidth="1"/>
    <col min="3" max="3" width="14.109375" style="124" bestFit="1" customWidth="1"/>
    <col min="4" max="4" width="7.6640625" style="124" bestFit="1" customWidth="1"/>
    <col min="5" max="5" width="13.6640625" style="124" bestFit="1" customWidth="1"/>
    <col min="6" max="6" width="10.109375" style="124" bestFit="1" customWidth="1"/>
    <col min="7" max="7" width="8.5546875" style="124" bestFit="1" customWidth="1"/>
    <col min="8" max="17" width="8.88671875" style="124"/>
    <col min="18" max="18" width="14.88671875" style="124" bestFit="1" customWidth="1"/>
    <col min="19" max="19" width="8" style="124" bestFit="1" customWidth="1"/>
    <col min="20" max="20" width="13.6640625" style="124" bestFit="1" customWidth="1"/>
    <col min="21" max="21" width="10.109375" style="124" bestFit="1" customWidth="1"/>
    <col min="22" max="22" width="8.5546875" style="124" bestFit="1" customWidth="1"/>
    <col min="23" max="16384" width="8.88671875" style="124"/>
  </cols>
  <sheetData>
    <row r="2" spans="2:7" x14ac:dyDescent="0.3">
      <c r="B2" s="198" t="s">
        <v>86</v>
      </c>
      <c r="C2" s="198" t="s">
        <v>87</v>
      </c>
      <c r="D2" s="198" t="s">
        <v>88</v>
      </c>
      <c r="E2" s="198" t="s">
        <v>89</v>
      </c>
      <c r="F2" s="198" t="s">
        <v>90</v>
      </c>
      <c r="G2" s="198" t="s">
        <v>91</v>
      </c>
    </row>
    <row r="3" spans="2:7" x14ac:dyDescent="0.3">
      <c r="B3" s="191">
        <v>1</v>
      </c>
      <c r="C3" s="191" t="s">
        <v>92</v>
      </c>
      <c r="D3" s="191">
        <v>4246.1000000000004</v>
      </c>
      <c r="E3" s="191">
        <v>376912.29</v>
      </c>
      <c r="F3" s="191">
        <v>12465</v>
      </c>
      <c r="G3" s="191">
        <v>0.97</v>
      </c>
    </row>
    <row r="4" spans="2:7" x14ac:dyDescent="0.3">
      <c r="B4" s="191">
        <v>2</v>
      </c>
      <c r="C4" s="191" t="s">
        <v>93</v>
      </c>
      <c r="D4" s="191">
        <v>420.35</v>
      </c>
      <c r="E4" s="191">
        <v>43400.23</v>
      </c>
      <c r="F4" s="191">
        <v>5334.96</v>
      </c>
      <c r="G4" s="191">
        <v>1</v>
      </c>
    </row>
    <row r="5" spans="2:7" x14ac:dyDescent="0.3">
      <c r="B5" s="191">
        <v>3</v>
      </c>
      <c r="C5" s="261" t="s">
        <v>94</v>
      </c>
      <c r="D5" s="191">
        <v>3752.9</v>
      </c>
      <c r="E5" s="191">
        <v>11659.68</v>
      </c>
      <c r="F5" s="191">
        <v>1124.3499999999999</v>
      </c>
      <c r="G5" s="191">
        <v>0.96</v>
      </c>
    </row>
    <row r="6" spans="2:7" x14ac:dyDescent="0.3">
      <c r="B6" s="191">
        <v>4</v>
      </c>
      <c r="C6" s="191" t="s">
        <v>95</v>
      </c>
      <c r="D6" s="191">
        <v>578.75</v>
      </c>
      <c r="E6" s="191">
        <v>7904.82</v>
      </c>
      <c r="F6" s="191">
        <v>1291.1300000000001</v>
      </c>
      <c r="G6" s="191">
        <v>0.76</v>
      </c>
    </row>
    <row r="7" spans="2:7" x14ac:dyDescent="0.3">
      <c r="B7" s="191">
        <v>5</v>
      </c>
      <c r="C7" s="191" t="s">
        <v>96</v>
      </c>
      <c r="D7" s="191">
        <v>8.4600000000000009</v>
      </c>
      <c r="E7" s="191">
        <v>7054.05</v>
      </c>
      <c r="F7" s="191">
        <v>1594.49</v>
      </c>
      <c r="G7" s="191">
        <v>0.22</v>
      </c>
    </row>
    <row r="8" spans="2:7" x14ac:dyDescent="0.3">
      <c r="B8" s="191">
        <v>6</v>
      </c>
      <c r="C8" s="261" t="s">
        <v>97</v>
      </c>
      <c r="D8" s="191">
        <v>427.45</v>
      </c>
      <c r="E8" s="191">
        <v>6494.97</v>
      </c>
      <c r="F8" s="191">
        <v>1889.28</v>
      </c>
      <c r="G8" s="191">
        <v>1.1200000000000001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772C-0B78-42C1-A8D9-E3BCAC96FB6D}">
  <sheetPr>
    <tabColor theme="8" tint="0.39997558519241921"/>
    <pageSetUpPr autoPageBreaks="0"/>
  </sheetPr>
  <dimension ref="A1"/>
  <sheetViews>
    <sheetView showGridLines="0" zoomScale="107" zoomScaleNormal="107" zoomScaleSheetLayoutView="100" workbookViewId="0">
      <selection activeCell="G16" sqref="G16"/>
    </sheetView>
  </sheetViews>
  <sheetFormatPr defaultRowHeight="14.4" x14ac:dyDescent="0.3"/>
  <sheetData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320A-879A-47E6-B8BE-F7C64A9F176E}">
  <sheetPr>
    <pageSetUpPr fitToPage="1"/>
  </sheetPr>
  <dimension ref="A2:M103"/>
  <sheetViews>
    <sheetView showGridLines="0" zoomScale="74" zoomScaleNormal="74" workbookViewId="0">
      <selection activeCell="P10" sqref="P10"/>
    </sheetView>
  </sheetViews>
  <sheetFormatPr defaultRowHeight="14.4" x14ac:dyDescent="0.3"/>
  <cols>
    <col min="1" max="1" width="1.88671875" customWidth="1"/>
    <col min="2" max="2" width="30" customWidth="1"/>
    <col min="3" max="13" width="13.109375" customWidth="1"/>
  </cols>
  <sheetData>
    <row r="2" spans="1:13" x14ac:dyDescent="0.3">
      <c r="B2" s="266" t="str">
        <f>"Historical Financial Statement - "&amp;'Data Sheet'!B1</f>
        <v>Historical Financial Statement - TITAN COMPANY LTD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</row>
    <row r="3" spans="1:13" x14ac:dyDescent="0.3">
      <c r="B3" s="119" t="s">
        <v>98</v>
      </c>
      <c r="C3" s="121">
        <f>'Data Sheet'!B16</f>
        <v>42460</v>
      </c>
      <c r="D3" s="121">
        <f>'Data Sheet'!C16</f>
        <v>42825</v>
      </c>
      <c r="E3" s="121">
        <f>'Data Sheet'!D16</f>
        <v>43190</v>
      </c>
      <c r="F3" s="121">
        <f>'Data Sheet'!E16</f>
        <v>43555</v>
      </c>
      <c r="G3" s="121">
        <f>'Data Sheet'!F16</f>
        <v>43921</v>
      </c>
      <c r="H3" s="121">
        <f>'Data Sheet'!G16</f>
        <v>44286</v>
      </c>
      <c r="I3" s="121">
        <f>'Data Sheet'!H16</f>
        <v>44651</v>
      </c>
      <c r="J3" s="121">
        <f>'Data Sheet'!I16</f>
        <v>45016</v>
      </c>
      <c r="K3" s="121">
        <f>'Data Sheet'!J16</f>
        <v>45382</v>
      </c>
      <c r="L3" s="121">
        <f>'Data Sheet'!K16</f>
        <v>45747</v>
      </c>
      <c r="M3" s="123" t="s">
        <v>99</v>
      </c>
    </row>
    <row r="4" spans="1:13" s="27" customFormat="1" x14ac:dyDescent="0.3">
      <c r="B4" s="28"/>
      <c r="C4" s="29"/>
      <c r="D4" s="29"/>
      <c r="E4" s="29"/>
      <c r="F4" s="29"/>
      <c r="G4" s="29"/>
      <c r="H4" s="29"/>
      <c r="I4" s="29"/>
      <c r="J4" s="29"/>
      <c r="K4" s="29"/>
      <c r="L4" s="29"/>
      <c r="M4" s="30"/>
    </row>
    <row r="5" spans="1:13" s="27" customFormat="1" x14ac:dyDescent="0.3">
      <c r="A5" s="27" t="s">
        <v>100</v>
      </c>
      <c r="B5" s="32" t="s">
        <v>101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x14ac:dyDescent="0.3">
      <c r="B6" t="s">
        <v>5</v>
      </c>
      <c r="C6" s="21">
        <f>IFERROR('Data Sheet'!B17,0)</f>
        <v>11275.89</v>
      </c>
      <c r="D6" s="21">
        <f>IFERROR('Data Sheet'!C17,0)</f>
        <v>13260.83</v>
      </c>
      <c r="E6" s="21">
        <f>IFERROR('Data Sheet'!D17,0)</f>
        <v>16119.77</v>
      </c>
      <c r="F6" s="21">
        <f>IFERROR('Data Sheet'!E17,0)</f>
        <v>19778.52</v>
      </c>
      <c r="G6" s="21">
        <f>IFERROR('Data Sheet'!F17,0)</f>
        <v>21052</v>
      </c>
      <c r="H6" s="21">
        <f>IFERROR('Data Sheet'!G17,0)</f>
        <v>21644</v>
      </c>
      <c r="I6" s="21">
        <f>IFERROR('Data Sheet'!H17,0)</f>
        <v>28799</v>
      </c>
      <c r="J6" s="21">
        <f>IFERROR('Data Sheet'!I17,0)</f>
        <v>40575</v>
      </c>
      <c r="K6" s="21">
        <f>IFERROR('Data Sheet'!J17,0)</f>
        <v>51084</v>
      </c>
      <c r="L6" s="21">
        <f>IFERROR('Data Sheet'!K17,0)</f>
        <v>60456</v>
      </c>
      <c r="M6" s="21">
        <f>IFERROR(SUM('Data Sheet'!H42:K42),0)</f>
        <v>75580</v>
      </c>
    </row>
    <row r="7" spans="1:13" x14ac:dyDescent="0.3">
      <c r="B7" s="23" t="s">
        <v>28</v>
      </c>
      <c r="C7" s="24" t="s">
        <v>102</v>
      </c>
      <c r="D7" s="25">
        <f>D6/C6-1</f>
        <v>0.17603399820324617</v>
      </c>
      <c r="E7" s="25">
        <f t="shared" ref="E7:M7" si="0">E6/D6-1</f>
        <v>0.21559283996552248</v>
      </c>
      <c r="F7" s="25">
        <f t="shared" si="0"/>
        <v>0.22697284142391605</v>
      </c>
      <c r="G7" s="25">
        <f t="shared" si="0"/>
        <v>6.4387021880302431E-2</v>
      </c>
      <c r="H7" s="25">
        <f t="shared" si="0"/>
        <v>2.8120843625308867E-2</v>
      </c>
      <c r="I7" s="25">
        <f t="shared" si="0"/>
        <v>0.33057660321567184</v>
      </c>
      <c r="J7" s="25">
        <f t="shared" si="0"/>
        <v>0.40890308691274013</v>
      </c>
      <c r="K7" s="25">
        <f t="shared" si="0"/>
        <v>0.25900184842883545</v>
      </c>
      <c r="L7" s="25">
        <f t="shared" si="0"/>
        <v>0.18346253229974163</v>
      </c>
      <c r="M7" s="25">
        <f t="shared" si="0"/>
        <v>0.25016540955405575</v>
      </c>
    </row>
    <row r="9" spans="1:13" x14ac:dyDescent="0.3">
      <c r="B9" t="s">
        <v>103</v>
      </c>
      <c r="C9" s="21">
        <f>IFERROR(SUM('Data Sheet'!B18,'Data Sheet'!B20:B22)-1*'Data Sheet'!B19,0)</f>
        <v>9183.3300000000017</v>
      </c>
      <c r="D9" s="21">
        <f>IFERROR(SUM('Data Sheet'!C18,'Data Sheet'!C20:C22)-1*'Data Sheet'!C19,0)</f>
        <v>10606.01</v>
      </c>
      <c r="E9" s="21">
        <f>IFERROR(SUM('Data Sheet'!D18,'Data Sheet'!D20:D22)-1*'Data Sheet'!D19,0)</f>
        <v>12762.63</v>
      </c>
      <c r="F9" s="21">
        <f>IFERROR(SUM('Data Sheet'!E18,'Data Sheet'!E20:E22)-1*'Data Sheet'!E19,0)</f>
        <v>15660.48</v>
      </c>
      <c r="G9" s="21">
        <f>IFERROR(SUM('Data Sheet'!F18,'Data Sheet'!F20:F22)-1*'Data Sheet'!F19,0)</f>
        <v>16626</v>
      </c>
      <c r="H9" s="21">
        <f>IFERROR(SUM('Data Sheet'!G18,'Data Sheet'!G20:G22)-1*'Data Sheet'!G19,0)</f>
        <v>17661</v>
      </c>
      <c r="I9" s="21">
        <f>IFERROR(SUM('Data Sheet'!H18,'Data Sheet'!H20:H22)-1*'Data Sheet'!H19,0)</f>
        <v>23225</v>
      </c>
      <c r="J9" s="21">
        <f>IFERROR(SUM('Data Sheet'!I18,'Data Sheet'!I20:I22)-1*'Data Sheet'!I19,0)</f>
        <v>32295</v>
      </c>
      <c r="K9" s="21">
        <f>IFERROR(SUM('Data Sheet'!J18,'Data Sheet'!J20:J22)-1*'Data Sheet'!J19,0)</f>
        <v>41664</v>
      </c>
      <c r="L9" s="21">
        <f>IFERROR(SUM('Data Sheet'!K18,'Data Sheet'!K20:K22)-1*'Data Sheet'!K19,0)</f>
        <v>50024</v>
      </c>
      <c r="M9" s="21">
        <f>IFERROR(SUM('Data Sheet'!H43:K43),0)</f>
        <v>67625</v>
      </c>
    </row>
    <row r="10" spans="1:13" x14ac:dyDescent="0.3">
      <c r="B10" s="23" t="s">
        <v>104</v>
      </c>
      <c r="C10" s="25">
        <f>C9/C6</f>
        <v>0.81442174409292767</v>
      </c>
      <c r="D10" s="25">
        <f t="shared" ref="D10:M10" si="1">D9/D6</f>
        <v>0.79979986169794803</v>
      </c>
      <c r="E10" s="25">
        <f t="shared" si="1"/>
        <v>0.79173772330498504</v>
      </c>
      <c r="F10" s="25">
        <f t="shared" si="1"/>
        <v>0.79179230801900236</v>
      </c>
      <c r="G10" s="25">
        <f t="shared" si="1"/>
        <v>0.78975869276078281</v>
      </c>
      <c r="H10" s="25">
        <f t="shared" si="1"/>
        <v>0.81597671410090555</v>
      </c>
      <c r="I10" s="25">
        <f t="shared" si="1"/>
        <v>0.80645161290322576</v>
      </c>
      <c r="J10" s="25">
        <f t="shared" si="1"/>
        <v>0.79593345656192238</v>
      </c>
      <c r="K10" s="25">
        <f t="shared" si="1"/>
        <v>0.81559783885365278</v>
      </c>
      <c r="L10" s="25">
        <f t="shared" si="1"/>
        <v>0.82744475320894539</v>
      </c>
      <c r="M10" s="25">
        <f t="shared" si="1"/>
        <v>0.89474728764223344</v>
      </c>
    </row>
    <row r="12" spans="1:13" x14ac:dyDescent="0.3">
      <c r="B12" s="40" t="s">
        <v>105</v>
      </c>
      <c r="C12" s="41">
        <f>C6-C9</f>
        <v>2092.5599999999977</v>
      </c>
      <c r="D12" s="41">
        <f t="shared" ref="D12:L12" si="2">D6-D9</f>
        <v>2654.8199999999997</v>
      </c>
      <c r="E12" s="41">
        <f t="shared" si="2"/>
        <v>3357.1400000000012</v>
      </c>
      <c r="F12" s="41">
        <f t="shared" si="2"/>
        <v>4118.0400000000009</v>
      </c>
      <c r="G12" s="41">
        <f t="shared" si="2"/>
        <v>4426</v>
      </c>
      <c r="H12" s="41">
        <f t="shared" si="2"/>
        <v>3983</v>
      </c>
      <c r="I12" s="41">
        <f t="shared" si="2"/>
        <v>5574</v>
      </c>
      <c r="J12" s="41">
        <f t="shared" si="2"/>
        <v>8280</v>
      </c>
      <c r="K12" s="41">
        <f t="shared" si="2"/>
        <v>9420</v>
      </c>
      <c r="L12" s="41">
        <f t="shared" si="2"/>
        <v>10432</v>
      </c>
      <c r="M12" s="41">
        <f>M6-M9</f>
        <v>7955</v>
      </c>
    </row>
    <row r="13" spans="1:13" x14ac:dyDescent="0.3">
      <c r="B13" s="23" t="s">
        <v>106</v>
      </c>
      <c r="C13" s="25">
        <f>C12/C6</f>
        <v>0.18557825590707233</v>
      </c>
      <c r="D13" s="25">
        <f t="shared" ref="D13:L13" si="3">D12/D6</f>
        <v>0.20020013830205197</v>
      </c>
      <c r="E13" s="25">
        <f t="shared" si="3"/>
        <v>0.20826227669501496</v>
      </c>
      <c r="F13" s="25">
        <f t="shared" si="3"/>
        <v>0.20820769198099762</v>
      </c>
      <c r="G13" s="25">
        <f t="shared" si="3"/>
        <v>0.21024130723921719</v>
      </c>
      <c r="H13" s="25">
        <f t="shared" si="3"/>
        <v>0.18402328589909445</v>
      </c>
      <c r="I13" s="25">
        <f t="shared" si="3"/>
        <v>0.19354838709677419</v>
      </c>
      <c r="J13" s="25">
        <f t="shared" si="3"/>
        <v>0.20406654343807765</v>
      </c>
      <c r="K13" s="25">
        <f t="shared" si="3"/>
        <v>0.18440216114634719</v>
      </c>
      <c r="L13" s="25">
        <f t="shared" si="3"/>
        <v>0.17255524679105466</v>
      </c>
      <c r="M13" s="25">
        <f>M12/M6</f>
        <v>0.10525271235776661</v>
      </c>
    </row>
    <row r="15" spans="1:13" x14ac:dyDescent="0.3">
      <c r="B15" t="s">
        <v>107</v>
      </c>
      <c r="C15" s="21">
        <f>IFERROR(SUM('Data Sheet'!B23:B24),0)</f>
        <v>1153.23</v>
      </c>
      <c r="D15" s="21">
        <f>IFERROR(SUM('Data Sheet'!C23:C24),0)</f>
        <v>1490.92</v>
      </c>
      <c r="E15" s="21">
        <f>IFERROR(SUM('Data Sheet'!D23:D24),0)</f>
        <v>1712.94</v>
      </c>
      <c r="F15" s="21">
        <f>IFERROR(SUM('Data Sheet'!E23:E24),0)</f>
        <v>2124.25</v>
      </c>
      <c r="G15" s="21">
        <f>IFERROR(SUM('Data Sheet'!F23:F24),0)</f>
        <v>1963</v>
      </c>
      <c r="H15" s="21">
        <f>IFERROR(SUM('Data Sheet'!G23:G24),0)</f>
        <v>2258</v>
      </c>
      <c r="I15" s="21">
        <f>IFERROR(SUM('Data Sheet'!H23:H24),0)</f>
        <v>2230</v>
      </c>
      <c r="J15" s="21">
        <f>IFERROR(SUM('Data Sheet'!I23:I24),0)</f>
        <v>3398</v>
      </c>
      <c r="K15" s="21">
        <f>IFERROR(SUM('Data Sheet'!J23:J24),0)</f>
        <v>4128</v>
      </c>
      <c r="L15" s="21">
        <f>IFERROR(SUM('Data Sheet'!K23:K24),0)</f>
        <v>4738</v>
      </c>
      <c r="M15" s="21"/>
    </row>
    <row r="16" spans="1:13" x14ac:dyDescent="0.3">
      <c r="B16" s="23" t="s">
        <v>108</v>
      </c>
      <c r="C16" s="25">
        <f>C15/C6</f>
        <v>0.10227396684430232</v>
      </c>
      <c r="D16" s="25">
        <f t="shared" ref="D16:L16" si="4">D15/D6</f>
        <v>0.11243036823486917</v>
      </c>
      <c r="E16" s="25">
        <f t="shared" si="4"/>
        <v>0.10626330276424539</v>
      </c>
      <c r="F16" s="25">
        <f t="shared" si="4"/>
        <v>0.10740186828943722</v>
      </c>
      <c r="G16" s="25">
        <f t="shared" si="4"/>
        <v>9.3245297358920773E-2</v>
      </c>
      <c r="H16" s="25">
        <f t="shared" si="4"/>
        <v>0.10432452411753834</v>
      </c>
      <c r="I16" s="25">
        <f t="shared" si="4"/>
        <v>7.7433244209868399E-2</v>
      </c>
      <c r="J16" s="25">
        <f t="shared" si="4"/>
        <v>8.3746149106592727E-2</v>
      </c>
      <c r="K16" s="25">
        <f t="shared" si="4"/>
        <v>8.0808080808080815E-2</v>
      </c>
      <c r="L16" s="25">
        <f t="shared" si="4"/>
        <v>7.8371046711658066E-2</v>
      </c>
      <c r="M16" s="25">
        <f>M15/M6</f>
        <v>0</v>
      </c>
    </row>
    <row r="18" spans="2:13" x14ac:dyDescent="0.3">
      <c r="B18" s="40" t="s">
        <v>109</v>
      </c>
      <c r="C18" s="41">
        <f t="shared" ref="C18:M18" si="5">C12-C15</f>
        <v>939.32999999999765</v>
      </c>
      <c r="D18" s="41">
        <f t="shared" si="5"/>
        <v>1163.8999999999996</v>
      </c>
      <c r="E18" s="41">
        <f t="shared" si="5"/>
        <v>1644.2000000000012</v>
      </c>
      <c r="F18" s="41">
        <f t="shared" si="5"/>
        <v>1993.7900000000009</v>
      </c>
      <c r="G18" s="41">
        <f t="shared" si="5"/>
        <v>2463</v>
      </c>
      <c r="H18" s="41">
        <f t="shared" si="5"/>
        <v>1725</v>
      </c>
      <c r="I18" s="41">
        <f t="shared" si="5"/>
        <v>3344</v>
      </c>
      <c r="J18" s="41">
        <f t="shared" si="5"/>
        <v>4882</v>
      </c>
      <c r="K18" s="41">
        <f t="shared" si="5"/>
        <v>5292</v>
      </c>
      <c r="L18" s="41">
        <f t="shared" si="5"/>
        <v>5694</v>
      </c>
      <c r="M18" s="41">
        <f t="shared" si="5"/>
        <v>7955</v>
      </c>
    </row>
    <row r="19" spans="2:13" x14ac:dyDescent="0.3">
      <c r="B19" s="23" t="s">
        <v>110</v>
      </c>
      <c r="C19" s="25">
        <f>C18/C6</f>
        <v>8.3304289062770001E-2</v>
      </c>
      <c r="D19" s="25">
        <f t="shared" ref="D19:M19" si="6">D18/D6</f>
        <v>8.7769770067182798E-2</v>
      </c>
      <c r="E19" s="25">
        <f t="shared" si="6"/>
        <v>0.10199897393076955</v>
      </c>
      <c r="F19" s="25">
        <f t="shared" si="6"/>
        <v>0.10080582369156038</v>
      </c>
      <c r="G19" s="25">
        <f t="shared" si="6"/>
        <v>0.1169960098802964</v>
      </c>
      <c r="H19" s="25">
        <f t="shared" si="6"/>
        <v>7.9698761781556091E-2</v>
      </c>
      <c r="I19" s="25">
        <f t="shared" si="6"/>
        <v>0.11611514288690579</v>
      </c>
      <c r="J19" s="25">
        <f t="shared" si="6"/>
        <v>0.12032039433148491</v>
      </c>
      <c r="K19" s="25">
        <f t="shared" si="6"/>
        <v>0.10359408033826638</v>
      </c>
      <c r="L19" s="25">
        <f t="shared" si="6"/>
        <v>9.4184200079396582E-2</v>
      </c>
      <c r="M19" s="25">
        <f t="shared" si="6"/>
        <v>0.10525271235776661</v>
      </c>
    </row>
    <row r="21" spans="2:13" x14ac:dyDescent="0.3">
      <c r="B21" t="s">
        <v>10</v>
      </c>
      <c r="C21" s="21">
        <f>IFERROR('Data Sheet'!B27,0)</f>
        <v>42.36</v>
      </c>
      <c r="D21" s="21">
        <f>IFERROR('Data Sheet'!C27,0)</f>
        <v>37.74</v>
      </c>
      <c r="E21" s="21">
        <f>IFERROR('Data Sheet'!D27,0)</f>
        <v>52.92</v>
      </c>
      <c r="F21" s="21">
        <f>IFERROR('Data Sheet'!E27,0)</f>
        <v>52.54</v>
      </c>
      <c r="G21" s="21">
        <f>IFERROR('Data Sheet'!F27,0)</f>
        <v>166</v>
      </c>
      <c r="H21" s="21">
        <f>IFERROR('Data Sheet'!G27,0)</f>
        <v>203</v>
      </c>
      <c r="I21" s="21">
        <f>IFERROR('Data Sheet'!H27,0)</f>
        <v>218</v>
      </c>
      <c r="J21" s="21">
        <f>IFERROR('Data Sheet'!I27,0)</f>
        <v>300</v>
      </c>
      <c r="K21" s="21">
        <f>IFERROR('Data Sheet'!J27,0)</f>
        <v>619</v>
      </c>
      <c r="L21" s="21">
        <f>IFERROR('Data Sheet'!K27,0)</f>
        <v>953</v>
      </c>
      <c r="M21" s="21">
        <f>IFERROR(SUM('Data Sheet'!H46:K46),0)</f>
        <v>1082</v>
      </c>
    </row>
    <row r="22" spans="2:13" x14ac:dyDescent="0.3">
      <c r="B22" s="23" t="s">
        <v>111</v>
      </c>
      <c r="C22" s="25">
        <f>C21/C6</f>
        <v>3.7566879421491342E-3</v>
      </c>
      <c r="D22" s="25">
        <f t="shared" ref="D22:M22" si="7">D21/D6</f>
        <v>2.845975704386528E-3</v>
      </c>
      <c r="E22" s="25">
        <f t="shared" si="7"/>
        <v>3.2829252526555899E-3</v>
      </c>
      <c r="F22" s="25">
        <f t="shared" si="7"/>
        <v>2.6564171636704868E-3</v>
      </c>
      <c r="G22" s="25">
        <f t="shared" si="7"/>
        <v>7.8852365570967128E-3</v>
      </c>
      <c r="H22" s="25">
        <f t="shared" si="7"/>
        <v>9.3790426908150065E-3</v>
      </c>
      <c r="I22" s="25">
        <f t="shared" si="7"/>
        <v>7.5697072815028299E-3</v>
      </c>
      <c r="J22" s="25">
        <f t="shared" si="7"/>
        <v>7.3937153419593345E-3</v>
      </c>
      <c r="K22" s="25">
        <f t="shared" si="7"/>
        <v>1.2117297001017931E-2</v>
      </c>
      <c r="L22" s="25">
        <f t="shared" si="7"/>
        <v>1.5763530501521766E-2</v>
      </c>
      <c r="M22" s="25">
        <f t="shared" si="7"/>
        <v>1.4315956602275734E-2</v>
      </c>
    </row>
    <row r="24" spans="2:13" x14ac:dyDescent="0.3">
      <c r="B24" t="s">
        <v>9</v>
      </c>
      <c r="C24" s="21">
        <f>IFERROR('Data Sheet'!B26,0)</f>
        <v>98.19</v>
      </c>
      <c r="D24" s="21">
        <f>IFERROR('Data Sheet'!C26,0)</f>
        <v>110.53</v>
      </c>
      <c r="E24" s="21">
        <f>IFERROR('Data Sheet'!D26,0)</f>
        <v>131.43</v>
      </c>
      <c r="F24" s="21">
        <f>IFERROR('Data Sheet'!E26,0)</f>
        <v>162.84</v>
      </c>
      <c r="G24" s="21">
        <f>IFERROR('Data Sheet'!F26,0)</f>
        <v>348</v>
      </c>
      <c r="H24" s="21">
        <f>IFERROR('Data Sheet'!G26,0)</f>
        <v>375</v>
      </c>
      <c r="I24" s="21">
        <f>IFERROR('Data Sheet'!H26,0)</f>
        <v>399</v>
      </c>
      <c r="J24" s="21">
        <f>IFERROR('Data Sheet'!I26,0)</f>
        <v>441</v>
      </c>
      <c r="K24" s="21">
        <f>IFERROR('Data Sheet'!J26,0)</f>
        <v>584</v>
      </c>
      <c r="L24" s="21">
        <f>IFERROR('Data Sheet'!K26,0)</f>
        <v>693</v>
      </c>
      <c r="M24" s="21">
        <f>IFERROR(SUM('Data Sheet'!H45:K45),0)</f>
        <v>763</v>
      </c>
    </row>
    <row r="25" spans="2:13" x14ac:dyDescent="0.3">
      <c r="B25" s="23" t="s">
        <v>112</v>
      </c>
      <c r="C25" s="25">
        <f>C24/C6</f>
        <v>8.7079600811997993E-3</v>
      </c>
      <c r="D25" s="25">
        <f t="shared" ref="D25:M25" si="8">D24/D6</f>
        <v>8.3350740489094577E-3</v>
      </c>
      <c r="E25" s="25">
        <f t="shared" si="8"/>
        <v>8.1533421382563153E-3</v>
      </c>
      <c r="F25" s="25">
        <f t="shared" si="8"/>
        <v>8.2331741707670752E-3</v>
      </c>
      <c r="G25" s="25">
        <f t="shared" si="8"/>
        <v>1.6530495914877447E-2</v>
      </c>
      <c r="H25" s="25">
        <f t="shared" si="8"/>
        <v>1.7325817778599151E-2</v>
      </c>
      <c r="I25" s="25">
        <f t="shared" si="8"/>
        <v>1.3854647730823988E-2</v>
      </c>
      <c r="J25" s="25">
        <f t="shared" si="8"/>
        <v>1.0868761552680222E-2</v>
      </c>
      <c r="K25" s="25">
        <f t="shared" si="8"/>
        <v>1.1432150967034689E-2</v>
      </c>
      <c r="L25" s="25">
        <f t="shared" si="8"/>
        <v>1.146288209606987E-2</v>
      </c>
      <c r="M25" s="25">
        <f t="shared" si="8"/>
        <v>1.0095263297168562E-2</v>
      </c>
    </row>
    <row r="27" spans="2:13" x14ac:dyDescent="0.3">
      <c r="B27" s="40" t="s">
        <v>113</v>
      </c>
      <c r="C27" s="41">
        <f>IFERROR(C18-SUM(C24,C21),0)</f>
        <v>798.7799999999977</v>
      </c>
      <c r="D27" s="41">
        <f t="shared" ref="D27:M27" si="9">IFERROR(D18-SUM(D24,D21),0)</f>
        <v>1015.6299999999997</v>
      </c>
      <c r="E27" s="41">
        <f t="shared" si="9"/>
        <v>1459.8500000000013</v>
      </c>
      <c r="F27" s="41">
        <f t="shared" si="9"/>
        <v>1778.4100000000008</v>
      </c>
      <c r="G27" s="41">
        <f t="shared" si="9"/>
        <v>1949</v>
      </c>
      <c r="H27" s="41">
        <f t="shared" si="9"/>
        <v>1147</v>
      </c>
      <c r="I27" s="41">
        <f t="shared" si="9"/>
        <v>2727</v>
      </c>
      <c r="J27" s="41">
        <f t="shared" si="9"/>
        <v>4141</v>
      </c>
      <c r="K27" s="41">
        <f t="shared" si="9"/>
        <v>4089</v>
      </c>
      <c r="L27" s="41">
        <f t="shared" si="9"/>
        <v>4048</v>
      </c>
      <c r="M27" s="41">
        <f t="shared" si="9"/>
        <v>6110</v>
      </c>
    </row>
    <row r="28" spans="2:13" x14ac:dyDescent="0.3">
      <c r="B28" s="23" t="s">
        <v>114</v>
      </c>
      <c r="C28" s="25">
        <f>C27/C9</f>
        <v>8.6981519775506E-2</v>
      </c>
      <c r="D28" s="25">
        <f t="shared" ref="D28:M28" si="10">D27/D9</f>
        <v>9.5759856911317234E-2</v>
      </c>
      <c r="E28" s="25">
        <f t="shared" si="10"/>
        <v>0.11438473104681413</v>
      </c>
      <c r="F28" s="25">
        <f t="shared" si="10"/>
        <v>0.11356037618259471</v>
      </c>
      <c r="G28" s="25">
        <f t="shared" si="10"/>
        <v>0.11722603151690124</v>
      </c>
      <c r="H28" s="25">
        <f t="shared" si="10"/>
        <v>6.4945359832399074E-2</v>
      </c>
      <c r="I28" s="25">
        <f t="shared" si="10"/>
        <v>0.11741657696447794</v>
      </c>
      <c r="J28" s="25">
        <f t="shared" si="10"/>
        <v>0.12822418331010993</v>
      </c>
      <c r="K28" s="25">
        <f t="shared" si="10"/>
        <v>9.8142281105990783E-2</v>
      </c>
      <c r="L28" s="25">
        <f t="shared" si="10"/>
        <v>8.0921157844234773E-2</v>
      </c>
      <c r="M28" s="25">
        <f t="shared" si="10"/>
        <v>9.0351201478743065E-2</v>
      </c>
    </row>
    <row r="30" spans="2:13" x14ac:dyDescent="0.3">
      <c r="B30" t="s">
        <v>12</v>
      </c>
      <c r="C30" s="21">
        <f>IFERROR('Data Sheet'!B29,0)</f>
        <v>191.59</v>
      </c>
      <c r="D30" s="21">
        <f>IFERROR('Data Sheet'!C29,0)</f>
        <v>275.97000000000003</v>
      </c>
      <c r="E30" s="21">
        <f>IFERROR('Data Sheet'!D29,0)</f>
        <v>427.87</v>
      </c>
      <c r="F30" s="21">
        <f>IFERROR('Data Sheet'!E29,0)</f>
        <v>568.24</v>
      </c>
      <c r="G30" s="21">
        <f>IFERROR('Data Sheet'!F29,0)</f>
        <v>609</v>
      </c>
      <c r="H30" s="21">
        <f>IFERROR('Data Sheet'!G29,0)</f>
        <v>353</v>
      </c>
      <c r="I30" s="21">
        <f>IFERROR('Data Sheet'!H29,0)</f>
        <v>706</v>
      </c>
      <c r="J30" s="21">
        <f>IFERROR('Data Sheet'!I29,0)</f>
        <v>1173</v>
      </c>
      <c r="K30" s="21">
        <f>IFERROR('Data Sheet'!J29,0)</f>
        <v>1127</v>
      </c>
      <c r="L30" s="21">
        <f>IFERROR('Data Sheet'!K29,0)</f>
        <v>1198</v>
      </c>
      <c r="M30" s="21">
        <f>IFERROR(SUM('Data Sheet'!H48:K48),0)</f>
        <v>1677</v>
      </c>
    </row>
    <row r="31" spans="2:13" x14ac:dyDescent="0.3">
      <c r="B31" s="23" t="s">
        <v>115</v>
      </c>
      <c r="C31" s="25">
        <f>C30/C27</f>
        <v>0.23985327624627625</v>
      </c>
      <c r="D31" s="25">
        <f t="shared" ref="D31:M31" si="11">D30/D27</f>
        <v>0.27172296997922485</v>
      </c>
      <c r="E31" s="25">
        <f t="shared" si="11"/>
        <v>0.29309175600232873</v>
      </c>
      <c r="F31" s="25">
        <f t="shared" si="11"/>
        <v>0.31952137021271798</v>
      </c>
      <c r="G31" s="25">
        <f t="shared" si="11"/>
        <v>0.31246793227296049</v>
      </c>
      <c r="H31" s="25">
        <f t="shared" si="11"/>
        <v>0.30775937227550132</v>
      </c>
      <c r="I31" s="25">
        <f t="shared" si="11"/>
        <v>0.2588925559222589</v>
      </c>
      <c r="J31" s="25">
        <f t="shared" si="11"/>
        <v>0.28326491185703934</v>
      </c>
      <c r="K31" s="25">
        <f t="shared" si="11"/>
        <v>0.27561751039373927</v>
      </c>
      <c r="L31" s="25">
        <f t="shared" si="11"/>
        <v>0.29594861660079053</v>
      </c>
      <c r="M31" s="25">
        <f t="shared" si="11"/>
        <v>0.27446808510638299</v>
      </c>
    </row>
    <row r="33" spans="1:13" x14ac:dyDescent="0.3">
      <c r="B33" s="40" t="s">
        <v>116</v>
      </c>
      <c r="C33" s="41">
        <f>IFERROR(C27-C30,0)</f>
        <v>607.18999999999767</v>
      </c>
      <c r="D33" s="41">
        <f t="shared" ref="D33:M33" si="12">D27-D30</f>
        <v>739.65999999999963</v>
      </c>
      <c r="E33" s="41">
        <f t="shared" si="12"/>
        <v>1031.9800000000014</v>
      </c>
      <c r="F33" s="41">
        <f t="shared" si="12"/>
        <v>1210.1700000000008</v>
      </c>
      <c r="G33" s="41">
        <f t="shared" si="12"/>
        <v>1340</v>
      </c>
      <c r="H33" s="41">
        <f t="shared" si="12"/>
        <v>794</v>
      </c>
      <c r="I33" s="41">
        <f t="shared" si="12"/>
        <v>2021</v>
      </c>
      <c r="J33" s="41">
        <f t="shared" si="12"/>
        <v>2968</v>
      </c>
      <c r="K33" s="41">
        <f t="shared" si="12"/>
        <v>2962</v>
      </c>
      <c r="L33" s="41">
        <f t="shared" si="12"/>
        <v>2850</v>
      </c>
      <c r="M33" s="41">
        <f t="shared" si="12"/>
        <v>4433</v>
      </c>
    </row>
    <row r="34" spans="1:13" x14ac:dyDescent="0.3">
      <c r="B34" s="23" t="s">
        <v>117</v>
      </c>
      <c r="C34" s="25">
        <f>C33/C6</f>
        <v>5.3848521048005762E-2</v>
      </c>
      <c r="D34" s="25">
        <f t="shared" ref="D34:M34" si="13">D33/D6</f>
        <v>5.57778057632893E-2</v>
      </c>
      <c r="E34" s="25">
        <f t="shared" si="13"/>
        <v>6.4019523851767193E-2</v>
      </c>
      <c r="F34" s="25">
        <f t="shared" si="13"/>
        <v>6.1186074590009805E-2</v>
      </c>
      <c r="G34" s="25">
        <f t="shared" si="13"/>
        <v>6.3651909557286723E-2</v>
      </c>
      <c r="H34" s="25">
        <f t="shared" si="13"/>
        <v>3.6684531509887264E-2</v>
      </c>
      <c r="I34" s="25">
        <f t="shared" si="13"/>
        <v>7.0176047779436784E-2</v>
      </c>
      <c r="J34" s="25">
        <f t="shared" si="13"/>
        <v>7.3148490449784345E-2</v>
      </c>
      <c r="K34" s="25">
        <f t="shared" si="13"/>
        <v>5.7982930075953329E-2</v>
      </c>
      <c r="L34" s="25">
        <f t="shared" si="13"/>
        <v>4.7141722905915048E-2</v>
      </c>
      <c r="M34" s="25">
        <f t="shared" si="13"/>
        <v>5.8653082826144481E-2</v>
      </c>
    </row>
    <row r="36" spans="1:13" x14ac:dyDescent="0.3">
      <c r="B36" t="s">
        <v>118</v>
      </c>
      <c r="C36">
        <f>IFERROR('Data Sheet'!B93,0)</f>
        <v>88.78</v>
      </c>
      <c r="D36">
        <f>IFERROR('Data Sheet'!C93,0)</f>
        <v>88.78</v>
      </c>
      <c r="E36">
        <f>IFERROR('Data Sheet'!D93,0)</f>
        <v>88.78</v>
      </c>
      <c r="F36">
        <f>IFERROR('Data Sheet'!E93,0)</f>
        <v>88.78</v>
      </c>
      <c r="G36">
        <f>IFERROR('Data Sheet'!F93,0)</f>
        <v>88.78</v>
      </c>
      <c r="H36">
        <f>IFERROR('Data Sheet'!G93,0)</f>
        <v>88.78</v>
      </c>
      <c r="I36">
        <f>IFERROR('Data Sheet'!H93,0)</f>
        <v>88.78</v>
      </c>
      <c r="J36">
        <f>IFERROR('Data Sheet'!I93,0)</f>
        <v>88.78</v>
      </c>
      <c r="K36">
        <f>IFERROR('Data Sheet'!J93,0)</f>
        <v>88.78</v>
      </c>
      <c r="L36">
        <f>IFERROR('Data Sheet'!K93,0)</f>
        <v>88.78</v>
      </c>
      <c r="M36">
        <f>L36</f>
        <v>88.78</v>
      </c>
    </row>
    <row r="37" spans="1:13" x14ac:dyDescent="0.3"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</row>
    <row r="38" spans="1:13" x14ac:dyDescent="0.3">
      <c r="B38" t="s">
        <v>119</v>
      </c>
      <c r="C38" s="21">
        <f>IFERROR(C33/C36,0)</f>
        <v>6.8392656003604149</v>
      </c>
      <c r="D38" s="21">
        <f t="shared" ref="D38:L38" si="14">IFERROR(D33/D36,0)</f>
        <v>8.3313809416535207</v>
      </c>
      <c r="E38" s="21">
        <f>IFERROR(E33/E36,0)</f>
        <v>11.624014417661652</v>
      </c>
      <c r="F38" s="21">
        <f t="shared" si="14"/>
        <v>13.631110610497869</v>
      </c>
      <c r="G38" s="21">
        <f t="shared" si="14"/>
        <v>15.093489524667717</v>
      </c>
      <c r="H38" s="21">
        <f t="shared" si="14"/>
        <v>8.9434557332732592</v>
      </c>
      <c r="I38" s="21">
        <f t="shared" si="14"/>
        <v>22.764136066681687</v>
      </c>
      <c r="J38" s="21">
        <f t="shared" si="14"/>
        <v>33.430952917323722</v>
      </c>
      <c r="K38" s="21">
        <f t="shared" si="14"/>
        <v>33.363370128407297</v>
      </c>
      <c r="L38" s="21">
        <f t="shared" si="14"/>
        <v>32.101824735300745</v>
      </c>
      <c r="M38" s="21">
        <f>IFERROR(M33/M36,0)</f>
        <v>49.932417211083575</v>
      </c>
    </row>
    <row r="39" spans="1:13" x14ac:dyDescent="0.3">
      <c r="B39" s="23" t="s">
        <v>120</v>
      </c>
      <c r="C39" s="25"/>
      <c r="D39" s="25">
        <f>IFERROR(D38/C38-1,0)</f>
        <v>0.21816894217625848</v>
      </c>
      <c r="E39" s="25">
        <f t="shared" ref="E39:L39" si="15">IFERROR(E38/D38-1,0)</f>
        <v>0.3952086093610605</v>
      </c>
      <c r="F39" s="25">
        <f t="shared" si="15"/>
        <v>0.1726680749626921</v>
      </c>
      <c r="G39" s="25">
        <f t="shared" si="15"/>
        <v>0.1072824479205392</v>
      </c>
      <c r="H39" s="25">
        <f t="shared" si="15"/>
        <v>-0.40746268656716422</v>
      </c>
      <c r="I39" s="25">
        <f t="shared" si="15"/>
        <v>1.5453400503778343</v>
      </c>
      <c r="J39" s="25">
        <f t="shared" si="15"/>
        <v>0.46857991093518048</v>
      </c>
      <c r="K39" s="25">
        <f t="shared" si="15"/>
        <v>-2.0215633423181778E-3</v>
      </c>
      <c r="L39" s="25">
        <f t="shared" si="15"/>
        <v>-3.781228899392286E-2</v>
      </c>
      <c r="M39" s="25">
        <f>IFERROR(M38/L38-1,0)</f>
        <v>0.55543859649122784</v>
      </c>
    </row>
    <row r="41" spans="1:13" x14ac:dyDescent="0.3">
      <c r="B41" t="s">
        <v>121</v>
      </c>
      <c r="C41" s="35">
        <f>IFERROR('Data Sheet'!B31/HistoricalFS!C36,0)</f>
        <v>2.2000450551926107</v>
      </c>
      <c r="D41" s="35">
        <f>IFERROR('Data Sheet'!C31/HistoricalFS!D36,0)</f>
        <v>2.6000225275963054</v>
      </c>
      <c r="E41" s="35">
        <f>IFERROR('Data Sheet'!D31/HistoricalFS!E36,0)</f>
        <v>3.7499436810092366</v>
      </c>
      <c r="F41" s="35">
        <f>IFERROR('Data Sheet'!E31/HistoricalFS!F36,0)</f>
        <v>5</v>
      </c>
      <c r="G41" s="35">
        <f>IFERROR('Data Sheet'!F31/HistoricalFS!G36,0)</f>
        <v>4.0099121423744082</v>
      </c>
      <c r="H41" s="35">
        <f>IFERROR('Data Sheet'!G31/HistoricalFS!H36,0)</f>
        <v>4.0099121423744082</v>
      </c>
      <c r="I41" s="35">
        <f>IFERROR('Data Sheet'!H31/HistoricalFS!I36,0)</f>
        <v>7.5185852669520159</v>
      </c>
      <c r="J41" s="35">
        <f>IFERROR('Data Sheet'!I31/HistoricalFS!J36,0)</f>
        <v>10.024780355936022</v>
      </c>
      <c r="K41" s="35">
        <f>IFERROR('Data Sheet'!J31/HistoricalFS!K36,0)</f>
        <v>11.027258391529625</v>
      </c>
      <c r="L41" s="35">
        <f>IFERROR('Data Sheet'!K31/HistoricalFS!L36,0)</f>
        <v>11.027258391529625</v>
      </c>
      <c r="M41" s="35"/>
    </row>
    <row r="42" spans="1:13" x14ac:dyDescent="0.3">
      <c r="B42" s="23" t="s">
        <v>122</v>
      </c>
      <c r="C42" s="36">
        <f>IFERROR(C41/C38,0)</f>
        <v>0.32167855201831508</v>
      </c>
      <c r="D42" s="36">
        <f t="shared" ref="D42:L42" si="16">IFERROR(D41/D38,0)</f>
        <v>0.31207581861936584</v>
      </c>
      <c r="E42" s="36">
        <f t="shared" si="16"/>
        <v>0.32260315122386052</v>
      </c>
      <c r="F42" s="36">
        <f t="shared" si="16"/>
        <v>0.36680796912830405</v>
      </c>
      <c r="G42" s="36">
        <f t="shared" si="16"/>
        <v>0.26567164179104474</v>
      </c>
      <c r="H42" s="36">
        <f t="shared" si="16"/>
        <v>0.44836272040302266</v>
      </c>
      <c r="I42" s="36">
        <f t="shared" si="16"/>
        <v>0.33028203859475502</v>
      </c>
      <c r="J42" s="36">
        <f t="shared" si="16"/>
        <v>0.29986522911051211</v>
      </c>
      <c r="K42" s="36">
        <f t="shared" si="16"/>
        <v>0.3305199189736665</v>
      </c>
      <c r="L42" s="36">
        <f t="shared" si="16"/>
        <v>0.34350877192982454</v>
      </c>
      <c r="M42" s="33"/>
    </row>
    <row r="44" spans="1:13" x14ac:dyDescent="0.3">
      <c r="B44" t="s">
        <v>123</v>
      </c>
      <c r="C44" s="38">
        <f>IFERROR(IF(C38&gt;C41,1-C42,0),0)</f>
        <v>0.67832144798168492</v>
      </c>
      <c r="D44" s="38">
        <f t="shared" ref="D44:L44" si="17">IFERROR(IF(D38&gt;D41,1-D42,0),0)</f>
        <v>0.68792418138063416</v>
      </c>
      <c r="E44" s="38">
        <f t="shared" si="17"/>
        <v>0.67739684877613948</v>
      </c>
      <c r="F44" s="38">
        <f t="shared" si="17"/>
        <v>0.63319203087169595</v>
      </c>
      <c r="G44" s="38">
        <f t="shared" si="17"/>
        <v>0.73432835820895526</v>
      </c>
      <c r="H44" s="38">
        <f t="shared" si="17"/>
        <v>0.55163727959697728</v>
      </c>
      <c r="I44" s="38">
        <f t="shared" si="17"/>
        <v>0.66971796140524498</v>
      </c>
      <c r="J44" s="38">
        <f t="shared" si="17"/>
        <v>0.70013477088948783</v>
      </c>
      <c r="K44" s="38">
        <f t="shared" si="17"/>
        <v>0.6694800810263335</v>
      </c>
      <c r="L44" s="38">
        <f t="shared" si="17"/>
        <v>0.65649122807017546</v>
      </c>
      <c r="M44" s="37"/>
    </row>
    <row r="46" spans="1:13" x14ac:dyDescent="0.3">
      <c r="A46" s="27" t="s">
        <v>100</v>
      </c>
      <c r="B46" s="32" t="s">
        <v>124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spans="1:13" x14ac:dyDescent="0.3">
      <c r="B47" t="s">
        <v>125</v>
      </c>
      <c r="C47" s="21">
        <f>IFERROR('Data Sheet'!B57,0)</f>
        <v>88.78</v>
      </c>
      <c r="D47" s="21">
        <f>IFERROR('Data Sheet'!C57,0)</f>
        <v>88.78</v>
      </c>
      <c r="E47" s="21">
        <f>IFERROR('Data Sheet'!D57,0)</f>
        <v>88.78</v>
      </c>
      <c r="F47" s="21">
        <f>IFERROR('Data Sheet'!E57,0)</f>
        <v>88.78</v>
      </c>
      <c r="G47" s="21">
        <f>IFERROR('Data Sheet'!F57,0)</f>
        <v>89</v>
      </c>
      <c r="H47" s="21">
        <f>IFERROR('Data Sheet'!G57,0)</f>
        <v>89</v>
      </c>
      <c r="I47" s="21">
        <f>IFERROR('Data Sheet'!H57,0)</f>
        <v>89</v>
      </c>
      <c r="J47" s="21">
        <f>IFERROR('Data Sheet'!I57,0)</f>
        <v>89</v>
      </c>
      <c r="K47" s="21">
        <f>IFERROR('Data Sheet'!J57,0)</f>
        <v>89</v>
      </c>
      <c r="L47" s="21">
        <f>IFERROR('Data Sheet'!K57,0)</f>
        <v>89</v>
      </c>
    </row>
    <row r="48" spans="1:13" x14ac:dyDescent="0.3">
      <c r="B48" t="s">
        <v>126</v>
      </c>
      <c r="C48" s="21">
        <f>IFERROR('Data Sheet'!B58,0)</f>
        <v>3417.5</v>
      </c>
      <c r="D48" s="21">
        <f>IFERROR('Data Sheet'!C58,0)</f>
        <v>4143.6000000000004</v>
      </c>
      <c r="E48" s="21">
        <f>IFERROR('Data Sheet'!D58,0)</f>
        <v>5001.1000000000004</v>
      </c>
      <c r="F48" s="21">
        <f>IFERROR('Data Sheet'!E58,0)</f>
        <v>5981.37</v>
      </c>
      <c r="G48" s="21">
        <f>IFERROR('Data Sheet'!F58,0)</f>
        <v>6580</v>
      </c>
      <c r="H48" s="21">
        <f>IFERROR('Data Sheet'!G58,0)</f>
        <v>7408</v>
      </c>
      <c r="I48" s="21">
        <f>IFERROR('Data Sheet'!H58,0)</f>
        <v>9214</v>
      </c>
      <c r="J48" s="21">
        <f>IFERROR('Data Sheet'!I58,0)</f>
        <v>11762</v>
      </c>
      <c r="K48" s="21">
        <f>IFERROR('Data Sheet'!J58,0)</f>
        <v>9304</v>
      </c>
      <c r="L48" s="21">
        <f>IFERROR('Data Sheet'!K58,0)</f>
        <v>11535</v>
      </c>
    </row>
    <row r="49" spans="2:13" x14ac:dyDescent="0.3">
      <c r="B49" t="s">
        <v>127</v>
      </c>
      <c r="C49" s="21">
        <f>IFERROR('Data Sheet'!B59,0)</f>
        <v>113.05</v>
      </c>
      <c r="D49" s="21">
        <f>IFERROR('Data Sheet'!C59,0)</f>
        <v>1882.43</v>
      </c>
      <c r="E49" s="21">
        <f>IFERROR('Data Sheet'!D59,0)</f>
        <v>1691.01</v>
      </c>
      <c r="F49" s="21">
        <f>IFERROR('Data Sheet'!E59,0)</f>
        <v>2392.98</v>
      </c>
      <c r="G49" s="21">
        <f>IFERROR('Data Sheet'!F59,0)</f>
        <v>3562</v>
      </c>
      <c r="H49" s="21">
        <f>IFERROR('Data Sheet'!G59,0)</f>
        <v>5638</v>
      </c>
      <c r="I49" s="21">
        <f>IFERROR('Data Sheet'!H59,0)</f>
        <v>7275</v>
      </c>
      <c r="J49" s="21">
        <f>IFERROR('Data Sheet'!I59,0)</f>
        <v>9367</v>
      </c>
      <c r="K49" s="21">
        <f>IFERROR('Data Sheet'!J59,0)</f>
        <v>15528</v>
      </c>
      <c r="L49" s="21">
        <f>IFERROR('Data Sheet'!K59,0)</f>
        <v>20777</v>
      </c>
    </row>
    <row r="50" spans="2:13" x14ac:dyDescent="0.3">
      <c r="B50" t="s">
        <v>128</v>
      </c>
      <c r="C50" s="21">
        <f>IFERROR('Data Sheet'!B60,0)</f>
        <v>2722.58</v>
      </c>
      <c r="D50" s="21">
        <f>IFERROR('Data Sheet'!C60,0)</f>
        <v>2292.7600000000002</v>
      </c>
      <c r="E50" s="21">
        <f>IFERROR('Data Sheet'!D60,0)</f>
        <v>2740.15</v>
      </c>
      <c r="F50" s="21">
        <f>IFERROR('Data Sheet'!E60,0)</f>
        <v>3246.71</v>
      </c>
      <c r="G50" s="21">
        <f>IFERROR('Data Sheet'!F60,0)</f>
        <v>3313</v>
      </c>
      <c r="H50" s="21">
        <f>IFERROR('Data Sheet'!G60,0)</f>
        <v>3309</v>
      </c>
      <c r="I50" s="21">
        <f>IFERROR('Data Sheet'!H60,0)</f>
        <v>4610</v>
      </c>
      <c r="J50" s="21">
        <f>IFERROR('Data Sheet'!I60,0)</f>
        <v>5802</v>
      </c>
      <c r="K50" s="21">
        <f>IFERROR('Data Sheet'!J60,0)</f>
        <v>6626</v>
      </c>
      <c r="L50" s="21">
        <f>IFERROR('Data Sheet'!K60,0)</f>
        <v>8244</v>
      </c>
    </row>
    <row r="51" spans="2:13" x14ac:dyDescent="0.3">
      <c r="B51" s="40" t="s">
        <v>129</v>
      </c>
      <c r="C51" s="41">
        <f>IFERROR('Data Sheet'!B61,0)</f>
        <v>6341.91</v>
      </c>
      <c r="D51" s="41">
        <f>IFERROR('Data Sheet'!C61,0)</f>
        <v>8407.57</v>
      </c>
      <c r="E51" s="41">
        <f>IFERROR('Data Sheet'!D61,0)</f>
        <v>9521.0400000000009</v>
      </c>
      <c r="F51" s="41">
        <f>IFERROR('Data Sheet'!E61,0)</f>
        <v>11709.84</v>
      </c>
      <c r="G51" s="41">
        <f>IFERROR('Data Sheet'!F61,0)</f>
        <v>13544</v>
      </c>
      <c r="H51" s="41">
        <f>IFERROR('Data Sheet'!G61,0)</f>
        <v>16444</v>
      </c>
      <c r="I51" s="41">
        <f>IFERROR('Data Sheet'!H61,0)</f>
        <v>21188</v>
      </c>
      <c r="J51" s="41">
        <f>IFERROR('Data Sheet'!I61,0)</f>
        <v>27020</v>
      </c>
      <c r="K51" s="41">
        <f>IFERROR('Data Sheet'!J61,0)</f>
        <v>31547</v>
      </c>
      <c r="L51" s="41">
        <f>IFERROR('Data Sheet'!K61,0)</f>
        <v>40645</v>
      </c>
      <c r="M51" s="2"/>
    </row>
    <row r="53" spans="2:13" x14ac:dyDescent="0.3">
      <c r="B53" t="s">
        <v>130</v>
      </c>
      <c r="C53" s="21">
        <f>IFERROR('Data Sheet'!B62,0)</f>
        <v>770.54</v>
      </c>
      <c r="D53" s="21">
        <f>IFERROR('Data Sheet'!C62,0)</f>
        <v>1188.72</v>
      </c>
      <c r="E53" s="21">
        <f>IFERROR('Data Sheet'!D62,0)</f>
        <v>1473.81</v>
      </c>
      <c r="F53" s="21">
        <f>IFERROR('Data Sheet'!E62,0)</f>
        <v>1566.63</v>
      </c>
      <c r="G53" s="21">
        <f>IFERROR('Data Sheet'!F62,0)</f>
        <v>2633</v>
      </c>
      <c r="H53" s="21">
        <f>IFERROR('Data Sheet'!G62,0)</f>
        <v>2523</v>
      </c>
      <c r="I53" s="21">
        <f>IFERROR('Data Sheet'!H62,0)</f>
        <v>2544</v>
      </c>
      <c r="J53" s="21">
        <f>IFERROR('Data Sheet'!I62,0)</f>
        <v>2998</v>
      </c>
      <c r="K53" s="21">
        <f>IFERROR('Data Sheet'!J62,0)</f>
        <v>3709</v>
      </c>
      <c r="L53" s="21">
        <f>IFERROR('Data Sheet'!K62,0)</f>
        <v>4062</v>
      </c>
    </row>
    <row r="54" spans="2:13" x14ac:dyDescent="0.3">
      <c r="B54" t="s">
        <v>131</v>
      </c>
      <c r="C54" s="21">
        <f>IFERROR('Data Sheet'!B63,0)</f>
        <v>106.71</v>
      </c>
      <c r="D54" s="21">
        <f>IFERROR('Data Sheet'!C63,0)</f>
        <v>152.07</v>
      </c>
      <c r="E54" s="21">
        <f>IFERROR('Data Sheet'!D63,0)</f>
        <v>43.37</v>
      </c>
      <c r="F54" s="21">
        <f>IFERROR('Data Sheet'!E63,0)</f>
        <v>31.77</v>
      </c>
      <c r="G54" s="21">
        <f>IFERROR('Data Sheet'!F63,0)</f>
        <v>18</v>
      </c>
      <c r="H54" s="21">
        <f>IFERROR('Data Sheet'!G63,0)</f>
        <v>32</v>
      </c>
      <c r="I54" s="21">
        <f>IFERROR('Data Sheet'!H63,0)</f>
        <v>85</v>
      </c>
      <c r="J54" s="21">
        <f>IFERROR('Data Sheet'!I63,0)</f>
        <v>144</v>
      </c>
      <c r="K54" s="21">
        <f>IFERROR('Data Sheet'!J63,0)</f>
        <v>97</v>
      </c>
      <c r="L54" s="21">
        <f>IFERROR('Data Sheet'!K63,0)</f>
        <v>105</v>
      </c>
    </row>
    <row r="55" spans="2:13" x14ac:dyDescent="0.3">
      <c r="B55" t="s">
        <v>132</v>
      </c>
      <c r="C55" s="21">
        <f>IFERROR('Data Sheet'!B64,0)</f>
        <v>30.41</v>
      </c>
      <c r="D55" s="21">
        <f>IFERROR('Data Sheet'!C64,0)</f>
        <v>430.73</v>
      </c>
      <c r="E55" s="21">
        <f>IFERROR('Data Sheet'!D64,0)</f>
        <v>35.99</v>
      </c>
      <c r="F55" s="21">
        <f>IFERROR('Data Sheet'!E64,0)</f>
        <v>108.42</v>
      </c>
      <c r="G55" s="21">
        <f>IFERROR('Data Sheet'!F64,0)</f>
        <v>158</v>
      </c>
      <c r="H55" s="21">
        <f>IFERROR('Data Sheet'!G64,0)</f>
        <v>2824</v>
      </c>
      <c r="I55" s="21">
        <f>IFERROR('Data Sheet'!H64,0)</f>
        <v>294</v>
      </c>
      <c r="J55" s="21">
        <f>IFERROR('Data Sheet'!I64,0)</f>
        <v>2515</v>
      </c>
      <c r="K55" s="21">
        <f>IFERROR('Data Sheet'!J64,0)</f>
        <v>2345</v>
      </c>
      <c r="L55" s="21">
        <f>IFERROR('Data Sheet'!K64,0)</f>
        <v>1988</v>
      </c>
    </row>
    <row r="56" spans="2:13" x14ac:dyDescent="0.3">
      <c r="B56" t="s">
        <v>133</v>
      </c>
      <c r="C56" s="21">
        <f>IFERROR('Data Sheet'!B65-SUM('Data Sheet'!B67:B69),0)</f>
        <v>678.25</v>
      </c>
      <c r="D56" s="21">
        <f>IFERROR('Data Sheet'!C65-SUM('Data Sheet'!C67:C69),0)</f>
        <v>723.77999999999975</v>
      </c>
      <c r="E56" s="21">
        <f>IFERROR('Data Sheet'!D65-SUM('Data Sheet'!D67:D69),0)</f>
        <v>1129.4300000000003</v>
      </c>
      <c r="F56" s="21">
        <f>IFERROR('Data Sheet'!E65-SUM('Data Sheet'!E67:E69),0)</f>
        <v>1477.2700000000004</v>
      </c>
      <c r="G56" s="21">
        <f>IFERROR('Data Sheet'!F65-SUM('Data Sheet'!F67:F69),0)</f>
        <v>1939</v>
      </c>
      <c r="H56" s="21">
        <f>IFERROR('Data Sheet'!G65-SUM('Data Sheet'!G67:G69),0)</f>
        <v>1731</v>
      </c>
      <c r="I56" s="21">
        <f>IFERROR('Data Sheet'!H65-SUM('Data Sheet'!H67:H69),0)</f>
        <v>2518</v>
      </c>
      <c r="J56" s="21">
        <f>IFERROR('Data Sheet'!I65-SUM('Data Sheet'!I67:I69),0)</f>
        <v>2762</v>
      </c>
      <c r="K56" s="21">
        <f>IFERROR('Data Sheet'!J65-SUM('Data Sheet'!J67:J69),0)</f>
        <v>3801</v>
      </c>
      <c r="L56" s="21">
        <f>IFERROR('Data Sheet'!K65-SUM('Data Sheet'!K67:K69),0)</f>
        <v>3654</v>
      </c>
    </row>
    <row r="57" spans="2:13" x14ac:dyDescent="0.3">
      <c r="B57" s="40" t="s">
        <v>134</v>
      </c>
      <c r="C57" s="41">
        <f>IFERROR(SUM(C53:C56),0)</f>
        <v>1585.9099999999999</v>
      </c>
      <c r="D57" s="41">
        <f t="shared" ref="D57:L57" si="18">IFERROR(SUM(D53:D56),0)</f>
        <v>2495.2999999999997</v>
      </c>
      <c r="E57" s="41">
        <f t="shared" si="18"/>
        <v>2682.6000000000004</v>
      </c>
      <c r="F57" s="41">
        <f t="shared" si="18"/>
        <v>3184.0900000000006</v>
      </c>
      <c r="G57" s="41">
        <f t="shared" si="18"/>
        <v>4748</v>
      </c>
      <c r="H57" s="41">
        <f t="shared" si="18"/>
        <v>7110</v>
      </c>
      <c r="I57" s="41">
        <f t="shared" si="18"/>
        <v>5441</v>
      </c>
      <c r="J57" s="41">
        <f t="shared" si="18"/>
        <v>8419</v>
      </c>
      <c r="K57" s="41">
        <f t="shared" si="18"/>
        <v>9952</v>
      </c>
      <c r="L57" s="41">
        <f t="shared" si="18"/>
        <v>9809</v>
      </c>
      <c r="M57" s="2"/>
    </row>
    <row r="58" spans="2:13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2:13" x14ac:dyDescent="0.3">
      <c r="B59" t="s">
        <v>135</v>
      </c>
      <c r="C59" s="21">
        <f>IFERROR('Data Sheet'!B67,0)</f>
        <v>192.5</v>
      </c>
      <c r="D59" s="21">
        <f>IFERROR('Data Sheet'!C67,0)</f>
        <v>207.6</v>
      </c>
      <c r="E59" s="21">
        <f>IFERROR('Data Sheet'!D67,0)</f>
        <v>295.69</v>
      </c>
      <c r="F59" s="21">
        <f>IFERROR('Data Sheet'!E67,0)</f>
        <v>420.45</v>
      </c>
      <c r="G59" s="21">
        <f>IFERROR('Data Sheet'!F67,0)</f>
        <v>312</v>
      </c>
      <c r="H59" s="21">
        <f>IFERROR('Data Sheet'!G67,0)</f>
        <v>366</v>
      </c>
      <c r="I59" s="21">
        <f>IFERROR('Data Sheet'!H67,0)</f>
        <v>565</v>
      </c>
      <c r="J59" s="21">
        <f>IFERROR('Data Sheet'!I67,0)</f>
        <v>674</v>
      </c>
      <c r="K59" s="21">
        <f>IFERROR('Data Sheet'!J67,0)</f>
        <v>1018</v>
      </c>
      <c r="L59" s="21">
        <f>IFERROR('Data Sheet'!K67,0)</f>
        <v>1068</v>
      </c>
    </row>
    <row r="60" spans="2:13" x14ac:dyDescent="0.3">
      <c r="B60" t="s">
        <v>136</v>
      </c>
      <c r="C60" s="21">
        <f>IFERROR('Data Sheet'!B68,0)</f>
        <v>4447.1499999999996</v>
      </c>
      <c r="D60" s="21">
        <f>IFERROR('Data Sheet'!C68,0)</f>
        <v>4925.74</v>
      </c>
      <c r="E60" s="21">
        <f>IFERROR('Data Sheet'!D68,0)</f>
        <v>5924.84</v>
      </c>
      <c r="F60" s="21">
        <f>IFERROR('Data Sheet'!E68,0)</f>
        <v>7038.82</v>
      </c>
      <c r="G60" s="21">
        <f>IFERROR('Data Sheet'!F68,0)</f>
        <v>8103</v>
      </c>
      <c r="H60" s="21">
        <f>IFERROR('Data Sheet'!G68,0)</f>
        <v>8408</v>
      </c>
      <c r="I60" s="21">
        <f>IFERROR('Data Sheet'!H68,0)</f>
        <v>13609</v>
      </c>
      <c r="J60" s="21">
        <f>IFERROR('Data Sheet'!I68,0)</f>
        <v>16584</v>
      </c>
      <c r="K60" s="21">
        <f>IFERROR('Data Sheet'!J68,0)</f>
        <v>19051</v>
      </c>
      <c r="L60" s="21">
        <f>IFERROR('Data Sheet'!K68,0)</f>
        <v>28184</v>
      </c>
    </row>
    <row r="61" spans="2:13" x14ac:dyDescent="0.3">
      <c r="B61" t="s">
        <v>137</v>
      </c>
      <c r="C61" s="21">
        <f>IFERROR('Data Sheet'!B69,0)</f>
        <v>116.35</v>
      </c>
      <c r="D61" s="21">
        <f>IFERROR('Data Sheet'!C69,0)</f>
        <v>778.93</v>
      </c>
      <c r="E61" s="21">
        <f>IFERROR('Data Sheet'!D69,0)</f>
        <v>617.91</v>
      </c>
      <c r="F61" s="21">
        <f>IFERROR('Data Sheet'!E69,0)</f>
        <v>1066.48</v>
      </c>
      <c r="G61" s="21">
        <f>IFERROR('Data Sheet'!F69,0)</f>
        <v>381</v>
      </c>
      <c r="H61" s="21">
        <f>IFERROR('Data Sheet'!G69,0)</f>
        <v>560</v>
      </c>
      <c r="I61" s="21">
        <f>IFERROR('Data Sheet'!H69,0)</f>
        <v>1573</v>
      </c>
      <c r="J61" s="21">
        <f>IFERROR('Data Sheet'!I69,0)</f>
        <v>1343</v>
      </c>
      <c r="K61" s="21">
        <f>IFERROR('Data Sheet'!J69,0)</f>
        <v>1526</v>
      </c>
      <c r="L61" s="21">
        <f>IFERROR('Data Sheet'!K69,0)</f>
        <v>1584</v>
      </c>
    </row>
    <row r="62" spans="2:13" x14ac:dyDescent="0.3">
      <c r="B62" s="40" t="s">
        <v>138</v>
      </c>
      <c r="C62" s="41">
        <f>IFERROR(SUM(C59:C61),0)</f>
        <v>4756</v>
      </c>
      <c r="D62" s="41">
        <f t="shared" ref="D62:L62" si="19">IFERROR(SUM(D59:D61),0)</f>
        <v>5912.27</v>
      </c>
      <c r="E62" s="41">
        <f t="shared" si="19"/>
        <v>6838.44</v>
      </c>
      <c r="F62" s="41">
        <f t="shared" si="19"/>
        <v>8525.75</v>
      </c>
      <c r="G62" s="41">
        <f t="shared" si="19"/>
        <v>8796</v>
      </c>
      <c r="H62" s="41">
        <f t="shared" si="19"/>
        <v>9334</v>
      </c>
      <c r="I62" s="41">
        <f t="shared" si="19"/>
        <v>15747</v>
      </c>
      <c r="J62" s="41">
        <f t="shared" si="19"/>
        <v>18601</v>
      </c>
      <c r="K62" s="41">
        <f t="shared" si="19"/>
        <v>21595</v>
      </c>
      <c r="L62" s="41">
        <f t="shared" si="19"/>
        <v>30836</v>
      </c>
      <c r="M62" s="2"/>
    </row>
    <row r="64" spans="2:13" x14ac:dyDescent="0.3">
      <c r="B64" s="40" t="s">
        <v>139</v>
      </c>
      <c r="C64" s="41">
        <f>IFERROR(SUM(C62,C57),0)</f>
        <v>6341.91</v>
      </c>
      <c r="D64" s="41">
        <f t="shared" ref="D64:L64" si="20">IFERROR(SUM(D62,D57),0)</f>
        <v>8407.57</v>
      </c>
      <c r="E64" s="41">
        <f t="shared" si="20"/>
        <v>9521.0400000000009</v>
      </c>
      <c r="F64" s="41">
        <f t="shared" si="20"/>
        <v>11709.84</v>
      </c>
      <c r="G64" s="41">
        <f t="shared" si="20"/>
        <v>13544</v>
      </c>
      <c r="H64" s="41">
        <f t="shared" si="20"/>
        <v>16444</v>
      </c>
      <c r="I64" s="41">
        <f t="shared" si="20"/>
        <v>21188</v>
      </c>
      <c r="J64" s="41">
        <f t="shared" si="20"/>
        <v>27020</v>
      </c>
      <c r="K64" s="41">
        <f t="shared" si="20"/>
        <v>31547</v>
      </c>
      <c r="L64" s="41">
        <f t="shared" si="20"/>
        <v>40645</v>
      </c>
      <c r="M64" s="2"/>
    </row>
    <row r="66" spans="1:13" x14ac:dyDescent="0.3">
      <c r="B66" s="22" t="s">
        <v>140</v>
      </c>
      <c r="C66" t="b">
        <f>C64=C51</f>
        <v>1</v>
      </c>
      <c r="D66" t="b">
        <f t="shared" ref="D66:L66" si="21">D64=D51</f>
        <v>1</v>
      </c>
      <c r="E66" t="b">
        <f t="shared" si="21"/>
        <v>1</v>
      </c>
      <c r="F66" t="b">
        <f t="shared" si="21"/>
        <v>1</v>
      </c>
      <c r="G66" t="b">
        <f t="shared" si="21"/>
        <v>1</v>
      </c>
      <c r="H66" t="b">
        <f t="shared" si="21"/>
        <v>1</v>
      </c>
      <c r="I66" t="b">
        <f t="shared" si="21"/>
        <v>1</v>
      </c>
      <c r="J66" t="b">
        <f t="shared" si="21"/>
        <v>1</v>
      </c>
      <c r="K66" t="b">
        <f t="shared" si="21"/>
        <v>1</v>
      </c>
      <c r="L66" t="b">
        <f t="shared" si="21"/>
        <v>1</v>
      </c>
    </row>
    <row r="68" spans="1:13" x14ac:dyDescent="0.3">
      <c r="A68" s="27" t="s">
        <v>100</v>
      </c>
      <c r="B68" s="32" t="s">
        <v>141</v>
      </c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</row>
    <row r="69" spans="1:13" x14ac:dyDescent="0.3">
      <c r="A69" s="27"/>
      <c r="B69" s="39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1:13" x14ac:dyDescent="0.3">
      <c r="B70" s="6" t="s">
        <v>142</v>
      </c>
      <c r="C70" s="21">
        <f>IFERROR('Data Sheet'!B82,0)</f>
        <v>576.09</v>
      </c>
      <c r="D70" s="21">
        <f>IFERROR('Data Sheet'!C82,0)</f>
        <v>1712.3</v>
      </c>
      <c r="E70" s="21">
        <f>IFERROR('Data Sheet'!D82,0)</f>
        <v>-51.12</v>
      </c>
      <c r="F70" s="21">
        <f>IFERROR('Data Sheet'!E82,0)</f>
        <v>1242.92</v>
      </c>
      <c r="G70" s="21">
        <f>IFERROR('Data Sheet'!F82,0)</f>
        <v>-348</v>
      </c>
      <c r="H70" s="21">
        <f>IFERROR('Data Sheet'!G82,0)</f>
        <v>4139</v>
      </c>
      <c r="I70" s="21">
        <f>IFERROR('Data Sheet'!H82,0)</f>
        <v>-724</v>
      </c>
      <c r="J70" s="21">
        <f>IFERROR('Data Sheet'!I82,0)</f>
        <v>1370</v>
      </c>
      <c r="K70" s="21">
        <f>IFERROR('Data Sheet'!J82,0)</f>
        <v>1695</v>
      </c>
      <c r="L70" s="21">
        <f>IFERROR('Data Sheet'!K82,0)</f>
        <v>-541</v>
      </c>
    </row>
    <row r="71" spans="1:13" x14ac:dyDescent="0.3">
      <c r="B71" s="6"/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 spans="1:13" x14ac:dyDescent="0.3">
      <c r="B72" s="6" t="s">
        <v>143</v>
      </c>
      <c r="C72" s="21">
        <f>IFERROR('Data Sheet'!B83,0)</f>
        <v>-158.79</v>
      </c>
      <c r="D72" s="21">
        <f>IFERROR('Data Sheet'!C83,0)</f>
        <v>-953.15</v>
      </c>
      <c r="E72" s="21">
        <f>IFERROR('Data Sheet'!D83,0)</f>
        <v>97.62</v>
      </c>
      <c r="F72" s="21">
        <f>IFERROR('Data Sheet'!E83,0)</f>
        <v>-796.61</v>
      </c>
      <c r="G72" s="21">
        <f>IFERROR('Data Sheet'!F83,0)</f>
        <v>235</v>
      </c>
      <c r="H72" s="21">
        <f>IFERROR('Data Sheet'!G83,0)</f>
        <v>-2799</v>
      </c>
      <c r="I72" s="21">
        <f>IFERROR('Data Sheet'!H83,0)</f>
        <v>1165</v>
      </c>
      <c r="J72" s="21">
        <f>IFERROR('Data Sheet'!I83,0)</f>
        <v>-1814</v>
      </c>
      <c r="K72" s="21">
        <f>IFERROR('Data Sheet'!J83,0)</f>
        <v>-189</v>
      </c>
      <c r="L72" s="21">
        <f>IFERROR('Data Sheet'!K83,0)</f>
        <v>546</v>
      </c>
    </row>
    <row r="73" spans="1:13" x14ac:dyDescent="0.3">
      <c r="B73" s="6"/>
      <c r="C73" s="21"/>
      <c r="D73" s="21"/>
      <c r="E73" s="21"/>
      <c r="F73" s="21"/>
      <c r="G73" s="21"/>
      <c r="H73" s="21"/>
      <c r="I73" s="21"/>
      <c r="J73" s="21"/>
      <c r="K73" s="21"/>
      <c r="L73" s="21"/>
    </row>
    <row r="74" spans="1:13" x14ac:dyDescent="0.3">
      <c r="B74" s="6" t="s">
        <v>144</v>
      </c>
      <c r="C74" s="21">
        <f>IFERROR('Data Sheet'!B84,0)</f>
        <v>-504.84</v>
      </c>
      <c r="D74" s="21">
        <f>IFERROR('Data Sheet'!C84,0)</f>
        <v>-165.6</v>
      </c>
      <c r="E74" s="21">
        <f>IFERROR('Data Sheet'!D84,0)</f>
        <v>-252.45</v>
      </c>
      <c r="F74" s="21">
        <f>IFERROR('Data Sheet'!E84,0)</f>
        <v>-488.83</v>
      </c>
      <c r="G74" s="21">
        <f>IFERROR('Data Sheet'!F84,0)</f>
        <v>-242</v>
      </c>
      <c r="H74" s="21">
        <f>IFERROR('Data Sheet'!G84,0)</f>
        <v>-1234</v>
      </c>
      <c r="I74" s="21">
        <f>IFERROR('Data Sheet'!H84,0)</f>
        <v>-403</v>
      </c>
      <c r="J74" s="21">
        <f>IFERROR('Data Sheet'!I84,0)</f>
        <v>457</v>
      </c>
      <c r="K74" s="21">
        <f>IFERROR('Data Sheet'!J84,0)</f>
        <v>-1329</v>
      </c>
      <c r="L74" s="21">
        <f>IFERROR('Data Sheet'!K84,0)</f>
        <v>-7</v>
      </c>
    </row>
    <row r="75" spans="1:13" x14ac:dyDescent="0.3">
      <c r="B75" s="6"/>
      <c r="C75" s="21"/>
      <c r="D75" s="21"/>
      <c r="E75" s="21"/>
      <c r="F75" s="21"/>
      <c r="G75" s="21"/>
      <c r="H75" s="21"/>
      <c r="I75" s="21"/>
      <c r="J75" s="21"/>
      <c r="K75" s="21"/>
      <c r="L75" s="21"/>
    </row>
    <row r="76" spans="1:13" x14ac:dyDescent="0.3">
      <c r="B76" s="58" t="s">
        <v>145</v>
      </c>
      <c r="C76" s="59">
        <f>IFERROR('Data Sheet'!B85,0)</f>
        <v>-87.54</v>
      </c>
      <c r="D76" s="59">
        <f>IFERROR('Data Sheet'!C85,0)</f>
        <v>593.54999999999995</v>
      </c>
      <c r="E76" s="59">
        <f>IFERROR('Data Sheet'!D85,0)</f>
        <v>-205.95</v>
      </c>
      <c r="F76" s="59">
        <f>IFERROR('Data Sheet'!E85,0)</f>
        <v>-42.52</v>
      </c>
      <c r="G76" s="59">
        <f>IFERROR('Data Sheet'!F85,0)</f>
        <v>-355</v>
      </c>
      <c r="H76" s="59">
        <f>IFERROR('Data Sheet'!G85,0)</f>
        <v>106</v>
      </c>
      <c r="I76" s="59">
        <f>IFERROR('Data Sheet'!H85,0)</f>
        <v>38</v>
      </c>
      <c r="J76" s="59">
        <f>IFERROR('Data Sheet'!I85,0)</f>
        <v>13</v>
      </c>
      <c r="K76" s="59">
        <f>IFERROR('Data Sheet'!J85,0)</f>
        <v>177</v>
      </c>
      <c r="L76" s="59">
        <f>IFERROR('Data Sheet'!K85,0)</f>
        <v>-2</v>
      </c>
    </row>
    <row r="77" spans="1:13" x14ac:dyDescent="0.3"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3" x14ac:dyDescent="0.3">
      <c r="C78" s="21"/>
      <c r="D78" s="21"/>
      <c r="E78" s="21"/>
      <c r="F78" s="21"/>
      <c r="G78" s="21"/>
      <c r="H78" s="21"/>
      <c r="I78" s="21"/>
      <c r="J78" s="21"/>
      <c r="K78" s="21"/>
      <c r="L78" s="21"/>
    </row>
    <row r="79" spans="1:13" x14ac:dyDescent="0.3">
      <c r="C79" s="21"/>
      <c r="D79" s="21"/>
      <c r="E79" s="21"/>
      <c r="F79" s="21"/>
      <c r="G79" s="21"/>
      <c r="H79" s="21"/>
      <c r="I79" s="21"/>
      <c r="J79" s="21"/>
      <c r="K79" s="21"/>
      <c r="L79" s="21"/>
    </row>
    <row r="80" spans="1:13" x14ac:dyDescent="0.3">
      <c r="B80" s="2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2" spans="2:12" x14ac:dyDescent="0.3">
      <c r="B82" s="2"/>
    </row>
    <row r="83" spans="2:12" x14ac:dyDescent="0.3">
      <c r="C83" s="21"/>
      <c r="D83" s="21"/>
      <c r="E83" s="21"/>
      <c r="F83" s="21"/>
      <c r="G83" s="21"/>
      <c r="H83" s="21"/>
      <c r="I83" s="21"/>
      <c r="J83" s="21"/>
      <c r="K83" s="21"/>
      <c r="L83" s="21"/>
    </row>
    <row r="84" spans="2:12" x14ac:dyDescent="0.3">
      <c r="C84" s="21"/>
      <c r="D84" s="21"/>
      <c r="E84" s="21"/>
      <c r="F84" s="21"/>
      <c r="G84" s="21"/>
      <c r="H84" s="21"/>
      <c r="I84" s="21"/>
      <c r="J84" s="21"/>
      <c r="K84" s="21"/>
      <c r="L84" s="21"/>
    </row>
    <row r="85" spans="2:12" x14ac:dyDescent="0.3">
      <c r="C85" s="21"/>
      <c r="D85" s="21"/>
      <c r="E85" s="21"/>
      <c r="F85" s="21"/>
      <c r="G85" s="21"/>
      <c r="H85" s="21"/>
      <c r="I85" s="21"/>
      <c r="J85" s="21"/>
      <c r="K85" s="21"/>
      <c r="L85" s="21"/>
    </row>
    <row r="86" spans="2:12" x14ac:dyDescent="0.3">
      <c r="C86" s="21"/>
      <c r="D86" s="21"/>
      <c r="E86" s="21"/>
      <c r="F86" s="21"/>
      <c r="G86" s="21"/>
      <c r="H86" s="21"/>
      <c r="I86" s="21"/>
      <c r="J86" s="21"/>
      <c r="K86" s="21"/>
      <c r="L86" s="21"/>
    </row>
    <row r="87" spans="2:12" x14ac:dyDescent="0.3">
      <c r="C87" s="21"/>
      <c r="D87" s="21"/>
      <c r="E87" s="21"/>
      <c r="F87" s="21"/>
      <c r="G87" s="21"/>
      <c r="H87" s="21"/>
      <c r="I87" s="21"/>
      <c r="J87" s="21"/>
      <c r="K87" s="21"/>
      <c r="L87" s="21"/>
    </row>
    <row r="88" spans="2:12" x14ac:dyDescent="0.3">
      <c r="C88" s="21"/>
      <c r="D88" s="21"/>
      <c r="E88" s="21"/>
      <c r="F88" s="21"/>
      <c r="G88" s="21"/>
      <c r="H88" s="21"/>
      <c r="I88" s="21"/>
      <c r="J88" s="21"/>
      <c r="K88" s="21"/>
      <c r="L88" s="21"/>
    </row>
    <row r="89" spans="2:12" x14ac:dyDescent="0.3">
      <c r="C89" s="21"/>
      <c r="D89" s="21"/>
      <c r="E89" s="21"/>
      <c r="F89" s="21"/>
      <c r="G89" s="21"/>
      <c r="H89" s="21"/>
      <c r="I89" s="21"/>
      <c r="J89" s="21"/>
      <c r="K89" s="21"/>
      <c r="L89" s="21"/>
    </row>
    <row r="90" spans="2:12" x14ac:dyDescent="0.3">
      <c r="B90" s="2"/>
      <c r="C90" s="34"/>
      <c r="D90" s="34"/>
      <c r="E90" s="34"/>
      <c r="F90" s="34"/>
      <c r="G90" s="34"/>
      <c r="H90" s="34"/>
      <c r="I90" s="34"/>
      <c r="J90" s="34"/>
      <c r="K90" s="34"/>
      <c r="L90" s="34"/>
    </row>
    <row r="92" spans="2:12" x14ac:dyDescent="0.3">
      <c r="B92" s="2"/>
    </row>
    <row r="93" spans="2:12" x14ac:dyDescent="0.3">
      <c r="C93" s="21"/>
      <c r="D93" s="21"/>
      <c r="E93" s="21"/>
      <c r="F93" s="21"/>
      <c r="G93" s="21"/>
      <c r="H93" s="21"/>
      <c r="I93" s="21"/>
      <c r="J93" s="21"/>
      <c r="K93" s="21"/>
      <c r="L93" s="21"/>
    </row>
    <row r="94" spans="2:12" x14ac:dyDescent="0.3">
      <c r="C94" s="21"/>
      <c r="D94" s="21"/>
      <c r="E94" s="21"/>
      <c r="F94" s="21"/>
      <c r="G94" s="21"/>
      <c r="H94" s="21"/>
      <c r="I94" s="21"/>
      <c r="J94" s="21"/>
      <c r="K94" s="21"/>
      <c r="L94" s="21"/>
    </row>
    <row r="95" spans="2:12" x14ac:dyDescent="0.3">
      <c r="C95" s="21"/>
      <c r="D95" s="21"/>
      <c r="E95" s="21"/>
      <c r="F95" s="21"/>
      <c r="G95" s="21"/>
      <c r="H95" s="21"/>
      <c r="I95" s="21"/>
      <c r="J95" s="21"/>
      <c r="K95" s="21"/>
      <c r="L95" s="21"/>
    </row>
    <row r="96" spans="2:12" x14ac:dyDescent="0.3">
      <c r="C96" s="21"/>
      <c r="D96" s="21"/>
      <c r="E96" s="21"/>
      <c r="F96" s="21"/>
      <c r="G96" s="21"/>
      <c r="H96" s="21"/>
      <c r="I96" s="21"/>
      <c r="J96" s="21"/>
      <c r="K96" s="21"/>
      <c r="L96" s="21"/>
    </row>
    <row r="97" spans="2:12" x14ac:dyDescent="0.3">
      <c r="C97" s="21"/>
      <c r="D97" s="21"/>
      <c r="E97" s="21"/>
      <c r="F97" s="21"/>
      <c r="G97" s="21"/>
      <c r="H97" s="21"/>
      <c r="I97" s="21"/>
      <c r="J97" s="21"/>
      <c r="K97" s="21"/>
      <c r="L97" s="21"/>
    </row>
    <row r="98" spans="2:12" x14ac:dyDescent="0.3">
      <c r="C98" s="21"/>
      <c r="D98" s="21"/>
      <c r="E98" s="21"/>
      <c r="F98" s="21"/>
      <c r="G98" s="21"/>
      <c r="H98" s="21"/>
      <c r="I98" s="21"/>
      <c r="J98" s="21"/>
      <c r="K98" s="21"/>
      <c r="L98" s="21"/>
    </row>
    <row r="99" spans="2:12" x14ac:dyDescent="0.3">
      <c r="C99" s="21"/>
      <c r="D99" s="21"/>
      <c r="E99" s="21"/>
      <c r="F99" s="21"/>
      <c r="G99" s="21"/>
      <c r="H99" s="21"/>
      <c r="I99" s="21"/>
      <c r="J99" s="21"/>
      <c r="K99" s="21"/>
      <c r="L99" s="21"/>
    </row>
    <row r="100" spans="2:12" x14ac:dyDescent="0.3">
      <c r="C100" s="21"/>
      <c r="D100" s="21"/>
      <c r="E100" s="21"/>
      <c r="F100" s="21"/>
      <c r="G100" s="21"/>
      <c r="H100" s="21"/>
      <c r="I100" s="21"/>
      <c r="J100" s="21"/>
      <c r="K100" s="21"/>
      <c r="L100" s="21"/>
    </row>
    <row r="101" spans="2:12" x14ac:dyDescent="0.3">
      <c r="B101" s="2"/>
      <c r="C101" s="34"/>
      <c r="D101" s="34"/>
      <c r="E101" s="34"/>
      <c r="F101" s="34"/>
      <c r="G101" s="34"/>
      <c r="H101" s="34"/>
      <c r="I101" s="34"/>
      <c r="J101" s="34"/>
      <c r="K101" s="34"/>
      <c r="L101" s="34"/>
    </row>
    <row r="103" spans="2:12" x14ac:dyDescent="0.3">
      <c r="B103" s="2"/>
      <c r="C103" s="34"/>
      <c r="D103" s="34"/>
      <c r="E103" s="34"/>
      <c r="F103" s="34"/>
      <c r="G103" s="34"/>
      <c r="H103" s="34"/>
      <c r="I103" s="34"/>
      <c r="J103" s="34"/>
      <c r="K103" s="34"/>
      <c r="L103" s="34"/>
    </row>
  </sheetData>
  <mergeCells count="1">
    <mergeCell ref="B2:M2"/>
  </mergeCells>
  <pageMargins left="0.7" right="0.7" top="0.75" bottom="0.75" header="0.3" footer="0.3"/>
  <pageSetup paperSize="9" scale="50" fitToHeight="0" orientation="portrait" horizontalDpi="0" verticalDpi="0" r:id="rId1"/>
  <rowBreaks count="1" manualBreakCount="1">
    <brk id="44" max="16383" man="1"/>
  </rowBreaks>
  <colBreaks count="1" manualBreakCount="1">
    <brk id="3" max="1048575" man="1"/>
  </colBreaks>
  <ignoredErrors>
    <ignoredError sqref="M6 C15 D15:L15 M21 M24 M30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BD66-C60F-42D4-924F-AD149BF6E446}">
  <sheetPr>
    <pageSetUpPr fitToPage="1"/>
  </sheetPr>
  <dimension ref="B2:O40"/>
  <sheetViews>
    <sheetView showGridLines="0" zoomScale="70" workbookViewId="0">
      <pane ySplit="3" topLeftCell="A4" activePane="bottomLeft" state="frozen"/>
      <selection pane="bottomLeft" activeCell="E1" sqref="E1"/>
    </sheetView>
  </sheetViews>
  <sheetFormatPr defaultRowHeight="14.4" x14ac:dyDescent="0.3"/>
  <cols>
    <col min="1" max="1" width="1.88671875" customWidth="1"/>
    <col min="2" max="2" width="27.5546875" customWidth="1"/>
    <col min="13" max="13" width="13.44140625" style="27" customWidth="1"/>
    <col min="14" max="14" width="14.5546875" customWidth="1"/>
    <col min="15" max="15" width="12.44140625" customWidth="1"/>
  </cols>
  <sheetData>
    <row r="2" spans="2:15" x14ac:dyDescent="0.3">
      <c r="B2" s="266" t="str">
        <f>"Ratio Analysis of - "&amp;'Data Sheet'!B1</f>
        <v>Ratio Analysis of - TITAN COMPANY LTD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</row>
    <row r="3" spans="2:15" x14ac:dyDescent="0.3">
      <c r="B3" s="119" t="s">
        <v>98</v>
      </c>
      <c r="C3" s="121">
        <f>'Data Sheet'!B16</f>
        <v>42460</v>
      </c>
      <c r="D3" s="121">
        <f>'Data Sheet'!C16</f>
        <v>42825</v>
      </c>
      <c r="E3" s="121">
        <f>'Data Sheet'!D16</f>
        <v>43190</v>
      </c>
      <c r="F3" s="121">
        <f>'Data Sheet'!E16</f>
        <v>43555</v>
      </c>
      <c r="G3" s="121">
        <f>'Data Sheet'!F16</f>
        <v>43921</v>
      </c>
      <c r="H3" s="121">
        <f>'Data Sheet'!G16</f>
        <v>44286</v>
      </c>
      <c r="I3" s="121">
        <f>'Data Sheet'!H16</f>
        <v>44651</v>
      </c>
      <c r="J3" s="121">
        <f>'Data Sheet'!I16</f>
        <v>45016</v>
      </c>
      <c r="K3" s="121">
        <f>'Data Sheet'!J16</f>
        <v>45382</v>
      </c>
      <c r="L3" s="121">
        <f>'Data Sheet'!K16</f>
        <v>45747</v>
      </c>
      <c r="M3" s="122" t="s">
        <v>146</v>
      </c>
      <c r="N3" s="123" t="s">
        <v>147</v>
      </c>
      <c r="O3" s="123" t="s">
        <v>148</v>
      </c>
    </row>
    <row r="5" spans="2:15" x14ac:dyDescent="0.3">
      <c r="B5" s="43" t="s">
        <v>149</v>
      </c>
      <c r="C5" s="43"/>
      <c r="D5" s="44">
        <f>IFERROR(HistoricalFS!D7,0)</f>
        <v>0.17603399820324617</v>
      </c>
      <c r="E5" s="44">
        <f>IFERROR(HistoricalFS!E7,0)</f>
        <v>0.21559283996552248</v>
      </c>
      <c r="F5" s="44">
        <f>IFERROR(HistoricalFS!F7,0)</f>
        <v>0.22697284142391605</v>
      </c>
      <c r="G5" s="44">
        <f>IFERROR(HistoricalFS!G7,0)</f>
        <v>6.4387021880302431E-2</v>
      </c>
      <c r="H5" s="44">
        <f>IFERROR(HistoricalFS!H7,0)</f>
        <v>2.8120843625308867E-2</v>
      </c>
      <c r="I5" s="44">
        <f>IFERROR(HistoricalFS!I7,0)</f>
        <v>0.33057660321567184</v>
      </c>
      <c r="J5" s="44">
        <f>IFERROR(HistoricalFS!J7,0)</f>
        <v>0.40890308691274013</v>
      </c>
      <c r="K5" s="44">
        <f>IFERROR(HistoricalFS!K7,0)</f>
        <v>0.25900184842883545</v>
      </c>
      <c r="L5" s="44">
        <f>IFERROR(HistoricalFS!L7,0)</f>
        <v>0.18346253229974163</v>
      </c>
      <c r="M5" s="56"/>
      <c r="N5" s="44">
        <f>IFERROR(AVERAGE(D5:L5),0)</f>
        <v>0.21033906843947611</v>
      </c>
      <c r="O5" s="44">
        <f>IFERROR(MEDIAN(C5:L5),0)</f>
        <v>0.21559283996552248</v>
      </c>
    </row>
    <row r="6" spans="2:15" x14ac:dyDescent="0.3">
      <c r="B6" t="s">
        <v>150</v>
      </c>
      <c r="D6" s="45">
        <f>IFERROR(HistoricalFS!D18/HistoricalFS!C18-1,0)</f>
        <v>0.23907465959780105</v>
      </c>
      <c r="E6" s="45">
        <f>IFERROR(HistoricalFS!E18/HistoricalFS!D18-1,0)</f>
        <v>0.41266431824040017</v>
      </c>
      <c r="F6" s="45">
        <f>IFERROR(HistoricalFS!F18/HistoricalFS!E18-1,0)</f>
        <v>0.21262011920690882</v>
      </c>
      <c r="G6" s="45">
        <f>IFERROR(HistoricalFS!G18/HistoricalFS!F18-1,0)</f>
        <v>0.23533571740253434</v>
      </c>
      <c r="H6" s="45">
        <f>IFERROR(HistoricalFS!H18/HistoricalFS!G18-1,0)</f>
        <v>-0.29963459196102316</v>
      </c>
      <c r="I6" s="45">
        <f>IFERROR(HistoricalFS!I18/HistoricalFS!H18-1,0)</f>
        <v>0.93855072463768119</v>
      </c>
      <c r="J6" s="45">
        <f>IFERROR(HistoricalFS!J18/HistoricalFS!I18-1,0)</f>
        <v>0.45992822966507174</v>
      </c>
      <c r="K6" s="45">
        <f>IFERROR(HistoricalFS!K18/HistoricalFS!J18-1,0)</f>
        <v>8.3981974600573439E-2</v>
      </c>
      <c r="L6" s="45">
        <f>IFERROR(HistoricalFS!L18/HistoricalFS!K18-1,0)</f>
        <v>7.5963718820861725E-2</v>
      </c>
      <c r="N6" s="45">
        <f t="shared" ref="N6:N9" si="0">IFERROR(AVERAGE(D6:L6),0)</f>
        <v>0.26205387446786771</v>
      </c>
      <c r="O6" s="45">
        <f t="shared" ref="O6:O9" si="1">IFERROR(MEDIAN(C6:L6),0)</f>
        <v>0.23533571740253434</v>
      </c>
    </row>
    <row r="7" spans="2:15" x14ac:dyDescent="0.3">
      <c r="B7" t="s">
        <v>151</v>
      </c>
      <c r="D7" s="45">
        <f>IFERROR(HistoricalFS!D27/HistoricalFS!C27-1,0)</f>
        <v>0.27147650166504245</v>
      </c>
      <c r="E7" s="45">
        <f>IFERROR(HistoricalFS!E27/HistoricalFS!D27-1,0)</f>
        <v>0.437383692880283</v>
      </c>
      <c r="F7" s="45">
        <f>IFERROR(HistoricalFS!F27/HistoricalFS!E27-1,0)</f>
        <v>0.21821420008904968</v>
      </c>
      <c r="G7" s="45">
        <f>IFERROR(HistoricalFS!G27/HistoricalFS!F27-1,0)</f>
        <v>9.59227624675969E-2</v>
      </c>
      <c r="H7" s="45">
        <f>IFERROR(HistoricalFS!H27/HistoricalFS!G27-1,0)</f>
        <v>-0.41149307337095942</v>
      </c>
      <c r="I7" s="45">
        <f>IFERROR(HistoricalFS!I27/HistoricalFS!H27-1,0)</f>
        <v>1.3775065387968612</v>
      </c>
      <c r="J7" s="45">
        <f>IFERROR(HistoricalFS!J27/HistoricalFS!I27-1,0)</f>
        <v>0.5185185185185186</v>
      </c>
      <c r="K7" s="45">
        <f>IFERROR(HistoricalFS!K27/HistoricalFS!J27-1,0)</f>
        <v>-1.2557353296305251E-2</v>
      </c>
      <c r="L7" s="45">
        <f>IFERROR(HistoricalFS!L27/HistoricalFS!K27-1,0)</f>
        <v>-1.0026901442895531E-2</v>
      </c>
      <c r="N7" s="45">
        <f t="shared" si="0"/>
        <v>0.27610498736746575</v>
      </c>
      <c r="O7" s="45">
        <f t="shared" si="1"/>
        <v>0.21821420008904968</v>
      </c>
    </row>
    <row r="8" spans="2:15" x14ac:dyDescent="0.3">
      <c r="B8" t="s">
        <v>152</v>
      </c>
      <c r="D8" s="45">
        <f>IFERROR(HistoricalFS!D33/HistoricalFS!C33-1,0)</f>
        <v>0.21816894217625871</v>
      </c>
      <c r="E8" s="45">
        <f>IFERROR(HistoricalFS!E33/HistoricalFS!D33-1,0)</f>
        <v>0.39520860936106028</v>
      </c>
      <c r="F8" s="45">
        <f>IFERROR(HistoricalFS!F33/HistoricalFS!E33-1,0)</f>
        <v>0.17266807496269232</v>
      </c>
      <c r="G8" s="45">
        <f>IFERROR(HistoricalFS!G33/HistoricalFS!F33-1,0)</f>
        <v>0.10728244792053943</v>
      </c>
      <c r="H8" s="45">
        <f>IFERROR(HistoricalFS!H33/HistoricalFS!G33-1,0)</f>
        <v>-0.40746268656716422</v>
      </c>
      <c r="I8" s="45">
        <f>IFERROR(HistoricalFS!I33/HistoricalFS!H33-1,0)</f>
        <v>1.5453400503778338</v>
      </c>
      <c r="J8" s="45">
        <f>IFERROR(HistoricalFS!J33/HistoricalFS!I33-1,0)</f>
        <v>0.4685799109351807</v>
      </c>
      <c r="K8" s="45">
        <f>IFERROR(HistoricalFS!K33/HistoricalFS!J33-1,0)</f>
        <v>-2.0215633423180668E-3</v>
      </c>
      <c r="L8" s="45">
        <f>IFERROR(HistoricalFS!L33/HistoricalFS!K33-1,0)</f>
        <v>-3.7812288993922971E-2</v>
      </c>
      <c r="N8" s="45">
        <f t="shared" si="0"/>
        <v>0.27332794409223993</v>
      </c>
      <c r="O8" s="45">
        <f t="shared" si="1"/>
        <v>0.17266807496269232</v>
      </c>
    </row>
    <row r="9" spans="2:15" x14ac:dyDescent="0.3">
      <c r="B9" s="46" t="s">
        <v>153</v>
      </c>
      <c r="C9" s="46"/>
      <c r="D9" s="47">
        <f>IFERROR(HistoricalFS!D41/HistoricalFS!C41-1,0)</f>
        <v>0.18180421871800134</v>
      </c>
      <c r="E9" s="47">
        <f>IFERROR(HistoricalFS!E41/HistoricalFS!D41-1,0)</f>
        <v>0.44227353463587948</v>
      </c>
      <c r="F9" s="47">
        <f>IFERROR(HistoricalFS!F41/HistoricalFS!E41-1,0)</f>
        <v>0.33335335816412348</v>
      </c>
      <c r="G9" s="47">
        <f>IFERROR(HistoricalFS!G41/HistoricalFS!F41-1,0)</f>
        <v>-0.19801757152511834</v>
      </c>
      <c r="H9" s="47">
        <f>IFERROR(HistoricalFS!H41/HistoricalFS!G41-1,0)</f>
        <v>0</v>
      </c>
      <c r="I9" s="47">
        <f>IFERROR(HistoricalFS!I41/HistoricalFS!H41-1,0)</f>
        <v>0.87500000000000022</v>
      </c>
      <c r="J9" s="47">
        <f>IFERROR(HistoricalFS!J41/HistoricalFS!I41-1,0)</f>
        <v>0.33333333333333348</v>
      </c>
      <c r="K9" s="47">
        <f>IFERROR(HistoricalFS!K41/HistoricalFS!J41-1,0)</f>
        <v>0.10000000000000009</v>
      </c>
      <c r="L9" s="47">
        <f>IFERROR(HistoricalFS!L41/HistoricalFS!K41-1,0)</f>
        <v>0</v>
      </c>
      <c r="M9" s="57"/>
      <c r="N9" s="47">
        <f t="shared" si="0"/>
        <v>0.22974965259180222</v>
      </c>
      <c r="O9" s="47">
        <f t="shared" si="1"/>
        <v>0.18180421871800134</v>
      </c>
    </row>
    <row r="11" spans="2:15" x14ac:dyDescent="0.3">
      <c r="B11" s="43" t="s">
        <v>154</v>
      </c>
      <c r="C11" s="44">
        <f>IFERROR(HistoricalFS!C13,0)</f>
        <v>0.18557825590707233</v>
      </c>
      <c r="D11" s="44">
        <f>IFERROR(HistoricalFS!D13,0)</f>
        <v>0.20020013830205197</v>
      </c>
      <c r="E11" s="44">
        <f>IFERROR(HistoricalFS!E13,0)</f>
        <v>0.20826227669501496</v>
      </c>
      <c r="F11" s="44">
        <f>IFERROR(HistoricalFS!F13,0)</f>
        <v>0.20820769198099762</v>
      </c>
      <c r="G11" s="44">
        <f>IFERROR(HistoricalFS!G13,0)</f>
        <v>0.21024130723921719</v>
      </c>
      <c r="H11" s="44">
        <f>IFERROR(HistoricalFS!H13,0)</f>
        <v>0.18402328589909445</v>
      </c>
      <c r="I11" s="44">
        <f>IFERROR(HistoricalFS!I13,0)</f>
        <v>0.19354838709677419</v>
      </c>
      <c r="J11" s="44">
        <f>IFERROR(HistoricalFS!J13,0)</f>
        <v>0.20406654343807765</v>
      </c>
      <c r="K11" s="44">
        <f>IFERROR(HistoricalFS!K13,0)</f>
        <v>0.18440216114634719</v>
      </c>
      <c r="L11" s="44">
        <f>IFERROR(HistoricalFS!L13,0)</f>
        <v>0.17255524679105466</v>
      </c>
      <c r="M11" s="56"/>
      <c r="N11" s="44">
        <f>IFERROR(AVERAGE(C11:L11),0)</f>
        <v>0.19510852944957024</v>
      </c>
      <c r="O11" s="44">
        <f t="shared" ref="O11:O40" si="2">IFERROR(MEDIAN(C11:L11),0)</f>
        <v>0.19687426269941308</v>
      </c>
    </row>
    <row r="12" spans="2:15" x14ac:dyDescent="0.3">
      <c r="B12" t="s">
        <v>155</v>
      </c>
      <c r="C12" s="45">
        <f>IFERROR(HistoricalFS!C19,0)</f>
        <v>8.3304289062770001E-2</v>
      </c>
      <c r="D12" s="45">
        <f>IFERROR(HistoricalFS!D19,0)</f>
        <v>8.7769770067182798E-2</v>
      </c>
      <c r="E12" s="45">
        <f>IFERROR(HistoricalFS!E19,0)</f>
        <v>0.10199897393076955</v>
      </c>
      <c r="F12" s="45">
        <f>IFERROR(HistoricalFS!F19,0)</f>
        <v>0.10080582369156038</v>
      </c>
      <c r="G12" s="45">
        <f>IFERROR(HistoricalFS!G19,0)</f>
        <v>0.1169960098802964</v>
      </c>
      <c r="H12" s="45">
        <f>IFERROR(HistoricalFS!H19,0)</f>
        <v>7.9698761781556091E-2</v>
      </c>
      <c r="I12" s="45">
        <f>IFERROR(HistoricalFS!I19,0)</f>
        <v>0.11611514288690579</v>
      </c>
      <c r="J12" s="45">
        <f>IFERROR(HistoricalFS!J19,0)</f>
        <v>0.12032039433148491</v>
      </c>
      <c r="K12" s="45">
        <f>IFERROR(HistoricalFS!K19,0)</f>
        <v>0.10359408033826638</v>
      </c>
      <c r="L12" s="45">
        <f>IFERROR(HistoricalFS!L19,0)</f>
        <v>9.4184200079396582E-2</v>
      </c>
      <c r="N12" s="45">
        <f t="shared" ref="N12:N40" si="3">IFERROR(AVERAGE(C12:L12),0)</f>
        <v>0.10047874460501889</v>
      </c>
      <c r="O12" s="45">
        <f t="shared" si="2"/>
        <v>0.10140239881116497</v>
      </c>
    </row>
    <row r="13" spans="2:15" x14ac:dyDescent="0.3">
      <c r="B13" t="s">
        <v>156</v>
      </c>
      <c r="C13" s="45">
        <f>IFERROR((HistoricalFS!C18-HistoricalFS!C24)/HistoricalFS!C6,0)</f>
        <v>7.4596328981570204E-2</v>
      </c>
      <c r="D13" s="45">
        <f>IFERROR((HistoricalFS!D18-HistoricalFS!D24)/HistoricalFS!D6,0)</f>
        <v>7.943469601827334E-2</v>
      </c>
      <c r="E13" s="45">
        <f>IFERROR((HistoricalFS!E18-HistoricalFS!E24)/HistoricalFS!E6,0)</f>
        <v>9.3845631792513234E-2</v>
      </c>
      <c r="F13" s="45">
        <f>IFERROR((HistoricalFS!F18-HistoricalFS!F24)/HistoricalFS!F6,0)</f>
        <v>9.2572649520793304E-2</v>
      </c>
      <c r="G13" s="45">
        <f>IFERROR((HistoricalFS!G18-HistoricalFS!G24)/HistoricalFS!G6,0)</f>
        <v>0.10046551396541896</v>
      </c>
      <c r="H13" s="45">
        <f>IFERROR((HistoricalFS!H18-HistoricalFS!H24)/HistoricalFS!H6,0)</f>
        <v>6.237294400295694E-2</v>
      </c>
      <c r="I13" s="45">
        <f>IFERROR((HistoricalFS!I18-HistoricalFS!I24)/HistoricalFS!I6,0)</f>
        <v>0.10226049515608181</v>
      </c>
      <c r="J13" s="45">
        <f>IFERROR((HistoricalFS!J18-HistoricalFS!J24)/HistoricalFS!J6,0)</f>
        <v>0.10945163277880468</v>
      </c>
      <c r="K13" s="45">
        <f>IFERROR((HistoricalFS!K18-HistoricalFS!K24)/HistoricalFS!K6,0)</f>
        <v>9.2161929371231702E-2</v>
      </c>
      <c r="L13" s="45">
        <f>IFERROR((HistoricalFS!L18-HistoricalFS!L24)/HistoricalFS!L6,0)</f>
        <v>8.2721317983326714E-2</v>
      </c>
      <c r="N13" s="45">
        <f t="shared" si="3"/>
        <v>8.8988313957097082E-2</v>
      </c>
      <c r="O13" s="45">
        <f t="shared" si="2"/>
        <v>9.2367289446012496E-2</v>
      </c>
    </row>
    <row r="14" spans="2:15" x14ac:dyDescent="0.3">
      <c r="B14" t="s">
        <v>157</v>
      </c>
      <c r="C14" s="45">
        <f>IFERROR(HistoricalFS!C28,0)</f>
        <v>8.6981519775506E-2</v>
      </c>
      <c r="D14" s="45">
        <f>IFERROR(HistoricalFS!D28,0)</f>
        <v>9.5759856911317234E-2</v>
      </c>
      <c r="E14" s="45">
        <f>IFERROR(HistoricalFS!E28,0)</f>
        <v>0.11438473104681413</v>
      </c>
      <c r="F14" s="45">
        <f>IFERROR(HistoricalFS!F28,0)</f>
        <v>0.11356037618259471</v>
      </c>
      <c r="G14" s="45">
        <f>IFERROR(HistoricalFS!G28,0)</f>
        <v>0.11722603151690124</v>
      </c>
      <c r="H14" s="45">
        <f>IFERROR(HistoricalFS!H28,0)</f>
        <v>6.4945359832399074E-2</v>
      </c>
      <c r="I14" s="45">
        <f>IFERROR(HistoricalFS!I28,0)</f>
        <v>0.11741657696447794</v>
      </c>
      <c r="J14" s="45">
        <f>IFERROR(HistoricalFS!J28,0)</f>
        <v>0.12822418331010993</v>
      </c>
      <c r="K14" s="45">
        <f>IFERROR(HistoricalFS!K28,0)</f>
        <v>9.8142281105990783E-2</v>
      </c>
      <c r="L14" s="45">
        <f>IFERROR(HistoricalFS!L28,0)</f>
        <v>8.0921157844234773E-2</v>
      </c>
      <c r="N14" s="45">
        <f t="shared" si="3"/>
        <v>0.10175620744903457</v>
      </c>
      <c r="O14" s="45">
        <f t="shared" si="2"/>
        <v>0.10585132864429275</v>
      </c>
    </row>
    <row r="15" spans="2:15" x14ac:dyDescent="0.3">
      <c r="B15" s="46" t="s">
        <v>158</v>
      </c>
      <c r="C15" s="47">
        <f>IFERROR(HistoricalFS!C34,0)</f>
        <v>5.3848521048005762E-2</v>
      </c>
      <c r="D15" s="47">
        <f>IFERROR(HistoricalFS!D34,0)</f>
        <v>5.57778057632893E-2</v>
      </c>
      <c r="E15" s="47">
        <f>IFERROR(HistoricalFS!E34,0)</f>
        <v>6.4019523851767193E-2</v>
      </c>
      <c r="F15" s="47">
        <f>IFERROR(HistoricalFS!F34,0)</f>
        <v>6.1186074590009805E-2</v>
      </c>
      <c r="G15" s="47">
        <f>IFERROR(HistoricalFS!G34,0)</f>
        <v>6.3651909557286723E-2</v>
      </c>
      <c r="H15" s="47">
        <f>IFERROR(HistoricalFS!H34,0)</f>
        <v>3.6684531509887264E-2</v>
      </c>
      <c r="I15" s="47">
        <f>IFERROR(HistoricalFS!I34,0)</f>
        <v>7.0176047779436784E-2</v>
      </c>
      <c r="J15" s="47">
        <f>IFERROR(HistoricalFS!J34,0)</f>
        <v>7.3148490449784345E-2</v>
      </c>
      <c r="K15" s="47">
        <f>IFERROR(HistoricalFS!K34,0)</f>
        <v>5.7982930075953329E-2</v>
      </c>
      <c r="L15" s="47">
        <f>IFERROR(HistoricalFS!L34,0)</f>
        <v>4.7141722905915048E-2</v>
      </c>
      <c r="M15" s="57"/>
      <c r="N15" s="47">
        <f t="shared" si="3"/>
        <v>5.836175575313355E-2</v>
      </c>
      <c r="O15" s="47">
        <f t="shared" si="2"/>
        <v>5.958450233298157E-2</v>
      </c>
    </row>
    <row r="16" spans="2:15" x14ac:dyDescent="0.3">
      <c r="N16" s="42"/>
    </row>
    <row r="17" spans="2:15" x14ac:dyDescent="0.3">
      <c r="B17" s="43" t="s">
        <v>159</v>
      </c>
      <c r="C17" s="48">
        <f>IFERROR(HistoricalFS!C16,0)</f>
        <v>0.10227396684430232</v>
      </c>
      <c r="D17" s="48">
        <f>IFERROR(HistoricalFS!D16,0)</f>
        <v>0.11243036823486917</v>
      </c>
      <c r="E17" s="48">
        <f>IFERROR(HistoricalFS!E16,0)</f>
        <v>0.10626330276424539</v>
      </c>
      <c r="F17" s="48">
        <f>IFERROR(HistoricalFS!F16,0)</f>
        <v>0.10740186828943722</v>
      </c>
      <c r="G17" s="48">
        <f>IFERROR(HistoricalFS!G16,0)</f>
        <v>9.3245297358920773E-2</v>
      </c>
      <c r="H17" s="48">
        <f>IFERROR(HistoricalFS!H16,0)</f>
        <v>0.10432452411753834</v>
      </c>
      <c r="I17" s="48">
        <f>IFERROR(HistoricalFS!I16,0)</f>
        <v>7.7433244209868399E-2</v>
      </c>
      <c r="J17" s="48">
        <f>IFERROR(HistoricalFS!J16,0)</f>
        <v>8.3746149106592727E-2</v>
      </c>
      <c r="K17" s="48">
        <f>IFERROR(HistoricalFS!K16,0)</f>
        <v>8.0808080808080815E-2</v>
      </c>
      <c r="L17" s="48">
        <f>IFERROR(HistoricalFS!L16,0)</f>
        <v>7.8371046711658066E-2</v>
      </c>
      <c r="M17" s="56"/>
      <c r="N17" s="44">
        <f>IFERROR(AVERAGE(C17:L17),0)</f>
        <v>9.4629784844551312E-2</v>
      </c>
      <c r="O17" s="44">
        <f t="shared" si="2"/>
        <v>9.7759632101611538E-2</v>
      </c>
    </row>
    <row r="18" spans="2:15" x14ac:dyDescent="0.3">
      <c r="B18" t="s">
        <v>160</v>
      </c>
      <c r="C18" s="5">
        <f>IFERROR(HistoricalFS!C25,0)</f>
        <v>8.7079600811997993E-3</v>
      </c>
      <c r="D18" s="5">
        <f>IFERROR(HistoricalFS!D25,0)</f>
        <v>8.3350740489094577E-3</v>
      </c>
      <c r="E18" s="5">
        <f>IFERROR(HistoricalFS!E25,0)</f>
        <v>8.1533421382563153E-3</v>
      </c>
      <c r="F18" s="5">
        <f>IFERROR(HistoricalFS!F25,0)</f>
        <v>8.2331741707670752E-3</v>
      </c>
      <c r="G18" s="5">
        <f>IFERROR(HistoricalFS!G25,0)</f>
        <v>1.6530495914877447E-2</v>
      </c>
      <c r="H18" s="5">
        <f>IFERROR(HistoricalFS!H25,0)</f>
        <v>1.7325817778599151E-2</v>
      </c>
      <c r="I18" s="5">
        <f>IFERROR(HistoricalFS!I25,0)</f>
        <v>1.3854647730823988E-2</v>
      </c>
      <c r="J18" s="5">
        <f>IFERROR(HistoricalFS!J25,0)</f>
        <v>1.0868761552680222E-2</v>
      </c>
      <c r="K18" s="5">
        <f>IFERROR(HistoricalFS!K25,0)</f>
        <v>1.1432150967034689E-2</v>
      </c>
      <c r="L18" s="5">
        <f>IFERROR(HistoricalFS!L25,0)</f>
        <v>1.146288209606987E-2</v>
      </c>
      <c r="N18" s="45">
        <f t="shared" si="3"/>
        <v>1.1490430647921801E-2</v>
      </c>
      <c r="O18" s="45">
        <f t="shared" si="2"/>
        <v>1.1150456259857455E-2</v>
      </c>
    </row>
    <row r="19" spans="2:15" x14ac:dyDescent="0.3">
      <c r="B19" s="46" t="s">
        <v>161</v>
      </c>
      <c r="C19" s="49">
        <f>C13</f>
        <v>7.4596328981570204E-2</v>
      </c>
      <c r="D19" s="49">
        <f t="shared" ref="D19:L19" si="4">D13</f>
        <v>7.943469601827334E-2</v>
      </c>
      <c r="E19" s="49">
        <f t="shared" si="4"/>
        <v>9.3845631792513234E-2</v>
      </c>
      <c r="F19" s="49">
        <f t="shared" si="4"/>
        <v>9.2572649520793304E-2</v>
      </c>
      <c r="G19" s="49">
        <f t="shared" si="4"/>
        <v>0.10046551396541896</v>
      </c>
      <c r="H19" s="49">
        <f t="shared" si="4"/>
        <v>6.237294400295694E-2</v>
      </c>
      <c r="I19" s="49">
        <f t="shared" si="4"/>
        <v>0.10226049515608181</v>
      </c>
      <c r="J19" s="49">
        <f t="shared" si="4"/>
        <v>0.10945163277880468</v>
      </c>
      <c r="K19" s="49">
        <f t="shared" si="4"/>
        <v>9.2161929371231702E-2</v>
      </c>
      <c r="L19" s="49">
        <f t="shared" si="4"/>
        <v>8.2721317983326714E-2</v>
      </c>
      <c r="M19" s="57"/>
      <c r="N19" s="47">
        <f t="shared" si="3"/>
        <v>8.8988313957097082E-2</v>
      </c>
      <c r="O19" s="47">
        <f t="shared" si="2"/>
        <v>9.2367289446012496E-2</v>
      </c>
    </row>
    <row r="20" spans="2:15" x14ac:dyDescent="0.3">
      <c r="N20" s="42"/>
    </row>
    <row r="21" spans="2:15" x14ac:dyDescent="0.3">
      <c r="B21" s="43" t="s">
        <v>162</v>
      </c>
      <c r="C21" s="44">
        <f>IFERROR((HistoricalFS!C18-HistoricalFS!C24)/(SUM(HistoricalFS!C47:C49)),0)</f>
        <v>0.23240212967593382</v>
      </c>
      <c r="D21" s="44">
        <f>IFERROR((HistoricalFS!D18-HistoricalFS!D24)/(SUM(HistoricalFS!D47:D49)),0)</f>
        <v>0.17226536883402749</v>
      </c>
      <c r="E21" s="44">
        <f>IFERROR((HistoricalFS!E18-HistoricalFS!E24)/(SUM(HistoricalFS!E47:E49)),0)</f>
        <v>0.22309313379217197</v>
      </c>
      <c r="F21" s="44">
        <f>IFERROR((HistoricalFS!F18-HistoricalFS!F24)/(SUM(HistoricalFS!F47:F49)),0)</f>
        <v>0.21634430760250653</v>
      </c>
      <c r="G21" s="44">
        <f>IFERROR((HistoricalFS!G18-HistoricalFS!G24)/(SUM(HistoricalFS!G47:G49)),0)</f>
        <v>0.20672466034600723</v>
      </c>
      <c r="H21" s="44">
        <f>IFERROR((HistoricalFS!H18-HistoricalFS!H24)/(SUM(HistoricalFS!H47:H49)),0)</f>
        <v>0.10277883517320137</v>
      </c>
      <c r="I21" s="44">
        <f>IFERROR((HistoricalFS!I18-HistoricalFS!I24)/(SUM(HistoricalFS!I47:I49)),0)</f>
        <v>0.1776450717818796</v>
      </c>
      <c r="J21" s="44">
        <f>IFERROR((HistoricalFS!J18-HistoricalFS!J24)/(SUM(HistoricalFS!J47:J49)),0)</f>
        <v>0.20930342162315016</v>
      </c>
      <c r="K21" s="44">
        <f>IFERROR((HistoricalFS!K18-HistoricalFS!K24)/(SUM(HistoricalFS!K47:K49)),0)</f>
        <v>0.18891697764937201</v>
      </c>
      <c r="L21" s="44">
        <f>IFERROR((HistoricalFS!L18-HistoricalFS!L24)/(SUM(HistoricalFS!L47:L49)),0)</f>
        <v>0.15434708805283787</v>
      </c>
      <c r="M21" s="56"/>
      <c r="N21" s="44">
        <f t="shared" si="3"/>
        <v>0.18838209945310883</v>
      </c>
      <c r="O21" s="44">
        <f t="shared" si="2"/>
        <v>0.19782081899768961</v>
      </c>
    </row>
    <row r="22" spans="2:15" x14ac:dyDescent="0.3">
      <c r="B22" t="s">
        <v>163</v>
      </c>
      <c r="C22" s="45">
        <f>IFERROR(HistoricalFS!C44,0)</f>
        <v>0.67832144798168492</v>
      </c>
      <c r="D22" s="45">
        <f>IFERROR(HistoricalFS!D44,0)</f>
        <v>0.68792418138063416</v>
      </c>
      <c r="E22" s="45">
        <f>IFERROR(HistoricalFS!E44,0)</f>
        <v>0.67739684877613948</v>
      </c>
      <c r="F22" s="45">
        <f>IFERROR(HistoricalFS!F44,0)</f>
        <v>0.63319203087169595</v>
      </c>
      <c r="G22" s="45">
        <f>IFERROR(HistoricalFS!G44,0)</f>
        <v>0.73432835820895526</v>
      </c>
      <c r="H22" s="45">
        <f>IFERROR(HistoricalFS!H44,0)</f>
        <v>0.55163727959697728</v>
      </c>
      <c r="I22" s="45">
        <f>IFERROR(HistoricalFS!I44,0)</f>
        <v>0.66971796140524498</v>
      </c>
      <c r="J22" s="45">
        <f>IFERROR(HistoricalFS!J44,0)</f>
        <v>0.70013477088948783</v>
      </c>
      <c r="K22" s="45">
        <f>IFERROR(HistoricalFS!K44,0)</f>
        <v>0.6694800810263335</v>
      </c>
      <c r="L22" s="45">
        <f>IFERROR(HistoricalFS!L44,0)</f>
        <v>0.65649122807017546</v>
      </c>
      <c r="N22" s="45">
        <f t="shared" si="3"/>
        <v>0.66586241882073272</v>
      </c>
      <c r="O22" s="45">
        <f t="shared" si="2"/>
        <v>0.67355740509069228</v>
      </c>
    </row>
    <row r="23" spans="2:15" x14ac:dyDescent="0.3">
      <c r="B23" t="s">
        <v>164</v>
      </c>
      <c r="C23" s="45">
        <f>IFERROR(HistoricalFS!C33/SUM(HistoricalFS!C47:C48),0)</f>
        <v>0.17317213685159133</v>
      </c>
      <c r="D23" s="45">
        <f>IFERROR(HistoricalFS!D33/SUM(HistoricalFS!D47:D48),0)</f>
        <v>0.17476219054054684</v>
      </c>
      <c r="E23" s="45">
        <f>IFERROR(HistoricalFS!E33/SUM(HistoricalFS!E47:E48),0)</f>
        <v>0.20275134187839425</v>
      </c>
      <c r="F23" s="45">
        <f>IFERROR(HistoricalFS!F33/SUM(HistoricalFS!F47:F48),0)</f>
        <v>0.19936410138134986</v>
      </c>
      <c r="G23" s="45">
        <f>IFERROR(HistoricalFS!G33/SUM(HistoricalFS!G47:G48),0)</f>
        <v>0.20092967461388514</v>
      </c>
      <c r="H23" s="45">
        <f>IFERROR(HistoricalFS!H33/SUM(HistoricalFS!H47:H48),0)</f>
        <v>0.10590903027877818</v>
      </c>
      <c r="I23" s="45">
        <f>IFERROR(HistoricalFS!I33/SUM(HistoricalFS!I47:I48),0)</f>
        <v>0.21724174997312695</v>
      </c>
      <c r="J23" s="45">
        <f>IFERROR(HistoricalFS!J33/SUM(HistoricalFS!J47:J48),0)</f>
        <v>0.25044300059066743</v>
      </c>
      <c r="K23" s="45">
        <f>IFERROR(HistoricalFS!K33/SUM(HistoricalFS!K47:K48),0)</f>
        <v>0.31534121154050887</v>
      </c>
      <c r="L23" s="45">
        <f>IFERROR(HistoricalFS!L33/SUM(HistoricalFS!L47:L48),0)</f>
        <v>0.24518238128011011</v>
      </c>
      <c r="N23" s="45">
        <f>IFERROR(AVERAGE(C23:L23),0)</f>
        <v>0.2085096818928959</v>
      </c>
      <c r="O23" s="45">
        <f t="shared" si="2"/>
        <v>0.20184050824613969</v>
      </c>
    </row>
    <row r="24" spans="2:15" x14ac:dyDescent="0.3">
      <c r="B24" t="s">
        <v>165</v>
      </c>
      <c r="C24" s="45">
        <f>IFERROR(C22*C23,0)</f>
        <v>0.11746637461925392</v>
      </c>
      <c r="D24" s="45">
        <f t="shared" ref="D24:L24" si="5">IFERROR(D22*D23,0)</f>
        <v>0.12022313686389209</v>
      </c>
      <c r="E24" s="45">
        <f t="shared" si="5"/>
        <v>0.13734312007355798</v>
      </c>
      <c r="F24" s="45">
        <f t="shared" si="5"/>
        <v>0.1262357602365676</v>
      </c>
      <c r="G24" s="45">
        <f t="shared" si="5"/>
        <v>0.14754835807467387</v>
      </c>
      <c r="H24" s="45">
        <f t="shared" si="5"/>
        <v>5.842336934773909E-2</v>
      </c>
      <c r="I24" s="45">
        <f t="shared" si="5"/>
        <v>0.14549070192411051</v>
      </c>
      <c r="J24" s="45">
        <f>IFERROR(J22*J23,0)</f>
        <v>0.1753438528394228</v>
      </c>
      <c r="K24" s="45">
        <f t="shared" si="5"/>
        <v>0.21111465985308206</v>
      </c>
      <c r="L24" s="45">
        <f t="shared" si="5"/>
        <v>0.16096008258774949</v>
      </c>
      <c r="N24" s="45">
        <f t="shared" si="3"/>
        <v>0.14001494164200493</v>
      </c>
      <c r="O24" s="45">
        <f t="shared" si="2"/>
        <v>0.14141691099883424</v>
      </c>
    </row>
    <row r="25" spans="2:15" x14ac:dyDescent="0.3">
      <c r="B25" s="46" t="s">
        <v>166</v>
      </c>
      <c r="C25" s="50">
        <f>IFERROR((HistoricalFS!C18-HistoricalFS!C24)/HistoricalFS!C21,0)</f>
        <v>19.856940509914956</v>
      </c>
      <c r="D25" s="50">
        <f>IFERROR((HistoricalFS!D18-HistoricalFS!D24)/HistoricalFS!D21,0)</f>
        <v>27.91123476417593</v>
      </c>
      <c r="E25" s="50">
        <f>IFERROR((HistoricalFS!E18-HistoricalFS!E24)/HistoricalFS!E21,0)</f>
        <v>28.585978835978857</v>
      </c>
      <c r="F25" s="50">
        <f>IFERROR((HistoricalFS!F18-HistoricalFS!F24)/HistoricalFS!F21,0)</f>
        <v>34.848686714883918</v>
      </c>
      <c r="G25" s="50">
        <f>IFERROR((HistoricalFS!G18-HistoricalFS!G24)/HistoricalFS!G21,0)</f>
        <v>12.740963855421686</v>
      </c>
      <c r="H25" s="50">
        <f>IFERROR((HistoricalFS!H18-HistoricalFS!H24)/HistoricalFS!H21,0)</f>
        <v>6.6502463054187189</v>
      </c>
      <c r="I25" s="50">
        <f>IFERROR((HistoricalFS!I18-HistoricalFS!I24)/HistoricalFS!I21,0)</f>
        <v>13.509174311926605</v>
      </c>
      <c r="J25" s="50">
        <f>IFERROR((HistoricalFS!J18-HistoricalFS!J24)/HistoricalFS!J21,0)</f>
        <v>14.803333333333333</v>
      </c>
      <c r="K25" s="50">
        <f>IFERROR((HistoricalFS!K18-HistoricalFS!K24)/HistoricalFS!K21,0)</f>
        <v>7.6058158319870763</v>
      </c>
      <c r="L25" s="50">
        <f>IFERROR((HistoricalFS!L18-HistoricalFS!L24)/HistoricalFS!L21,0)</f>
        <v>5.2476390346274924</v>
      </c>
      <c r="M25" s="57"/>
      <c r="N25" s="50">
        <f t="shared" si="3"/>
        <v>17.17600134976686</v>
      </c>
      <c r="O25" s="50">
        <f t="shared" si="2"/>
        <v>14.156253822629969</v>
      </c>
    </row>
    <row r="26" spans="2:15" x14ac:dyDescent="0.3">
      <c r="N26" s="42"/>
    </row>
    <row r="27" spans="2:15" x14ac:dyDescent="0.3">
      <c r="B27" s="43" t="s">
        <v>167</v>
      </c>
      <c r="C27" s="51">
        <f>IFERROR(HistoricalFS!C6/HistoricalFS!C59,0)</f>
        <v>58.576051948051948</v>
      </c>
      <c r="D27" s="51">
        <f>IFERROR(HistoricalFS!D6/HistoricalFS!D59,0)</f>
        <v>63.876830443159925</v>
      </c>
      <c r="E27" s="51">
        <f>IFERROR(HistoricalFS!E6/HistoricalFS!E59,0)</f>
        <v>54.515776657986407</v>
      </c>
      <c r="F27" s="51">
        <f>IFERROR(HistoricalFS!F6/HistoricalFS!F59,0)</f>
        <v>47.041312879058154</v>
      </c>
      <c r="G27" s="51">
        <f>IFERROR(HistoricalFS!G6/HistoricalFS!G59,0)</f>
        <v>67.474358974358978</v>
      </c>
      <c r="H27" s="51">
        <f>IFERROR(HistoricalFS!H6/HistoricalFS!H59,0)</f>
        <v>59.136612021857921</v>
      </c>
      <c r="I27" s="51">
        <f>IFERROR(HistoricalFS!I6/HistoricalFS!I59,0)</f>
        <v>50.971681415929204</v>
      </c>
      <c r="J27" s="51">
        <f>IFERROR(HistoricalFS!J6/HistoricalFS!J59,0)</f>
        <v>60.200296735905042</v>
      </c>
      <c r="K27" s="51">
        <f>IFERROR(HistoricalFS!K6/HistoricalFS!K59,0)</f>
        <v>50.180746561886053</v>
      </c>
      <c r="L27" s="51">
        <f>IFERROR(HistoricalFS!L6/HistoricalFS!L59,0)</f>
        <v>56.606741573033709</v>
      </c>
      <c r="M27" s="56"/>
      <c r="N27" s="51">
        <f t="shared" si="3"/>
        <v>56.858040921122736</v>
      </c>
      <c r="O27" s="51">
        <f t="shared" si="2"/>
        <v>57.591396760542828</v>
      </c>
    </row>
    <row r="28" spans="2:15" x14ac:dyDescent="0.3">
      <c r="B28" t="s">
        <v>168</v>
      </c>
      <c r="C28" s="52">
        <f>IFERROR(HistoricalFS!C6/HistoricalFS!C50,0)</f>
        <v>4.1416193463552951</v>
      </c>
      <c r="D28" s="52">
        <f>IFERROR(HistoricalFS!D6/HistoricalFS!D50,0)</f>
        <v>5.7837846089429332</v>
      </c>
      <c r="E28" s="52">
        <f>IFERROR(HistoricalFS!E6/HistoricalFS!E50,0)</f>
        <v>5.8828056858201192</v>
      </c>
      <c r="F28" s="52">
        <f>IFERROR(HistoricalFS!F6/HistoricalFS!F50,0)</f>
        <v>6.0918653036458448</v>
      </c>
      <c r="G28" s="52">
        <f>IFERROR(HistoricalFS!G6/HistoricalFS!G50,0)</f>
        <v>6.3543616057953516</v>
      </c>
      <c r="H28" s="52">
        <f>IFERROR(HistoricalFS!H6/HistoricalFS!H50,0)</f>
        <v>6.540948927168329</v>
      </c>
      <c r="I28" s="52">
        <f>IFERROR(HistoricalFS!I6/HistoricalFS!I50,0)</f>
        <v>6.2470715835141002</v>
      </c>
      <c r="J28" s="52">
        <f>IFERROR(HistoricalFS!J6/HistoricalFS!J50,0)</f>
        <v>6.9932781799379526</v>
      </c>
      <c r="K28" s="52">
        <f>IFERROR(HistoricalFS!K6/HistoricalFS!K50,0)</f>
        <v>7.7096287352852402</v>
      </c>
      <c r="L28" s="52">
        <f>IFERROR(HistoricalFS!L6/HistoricalFS!L50,0)</f>
        <v>7.333333333333333</v>
      </c>
      <c r="N28" s="52">
        <f t="shared" si="3"/>
        <v>6.3078697309798502</v>
      </c>
      <c r="O28" s="52">
        <f t="shared" si="2"/>
        <v>6.3007165946547259</v>
      </c>
    </row>
    <row r="29" spans="2:15" x14ac:dyDescent="0.3">
      <c r="B29" t="s">
        <v>169</v>
      </c>
      <c r="C29" s="52">
        <f>IFERROR(HistoricalFS!C6/HistoricalFS!C60,0)</f>
        <v>2.5355317450502008</v>
      </c>
      <c r="D29" s="52">
        <f>IFERROR(HistoricalFS!D6/HistoricalFS!D60,0)</f>
        <v>2.6921498089627143</v>
      </c>
      <c r="E29" s="52">
        <f>IFERROR(HistoricalFS!E6/HistoricalFS!E60,0)</f>
        <v>2.7207097575630734</v>
      </c>
      <c r="F29" s="52">
        <f>IFERROR(HistoricalFS!F6/HistoricalFS!F60,0)</f>
        <v>2.8099198445193942</v>
      </c>
      <c r="G29" s="52">
        <f>IFERROR(HistoricalFS!G6/HistoricalFS!G60,0)</f>
        <v>2.59805010489942</v>
      </c>
      <c r="H29" s="52">
        <f>IFERROR(HistoricalFS!H6/HistoricalFS!H60,0)</f>
        <v>2.5742150333016176</v>
      </c>
      <c r="I29" s="52">
        <f>IFERROR(HistoricalFS!I6/HistoricalFS!I60,0)</f>
        <v>2.1161731207289294</v>
      </c>
      <c r="J29" s="52">
        <f>IFERROR(HistoricalFS!J6/HistoricalFS!J60,0)</f>
        <v>2.4466353111432708</v>
      </c>
      <c r="K29" s="52">
        <f>IFERROR(HistoricalFS!K6/HistoricalFS!K60,0)</f>
        <v>2.6814340454569314</v>
      </c>
      <c r="L29" s="52">
        <f>IFERROR(HistoricalFS!L6/HistoricalFS!L60,0)</f>
        <v>2.1450468350837353</v>
      </c>
      <c r="N29" s="52">
        <f t="shared" si="3"/>
        <v>2.5319865606709291</v>
      </c>
      <c r="O29" s="52">
        <f t="shared" si="2"/>
        <v>2.5861325691005188</v>
      </c>
    </row>
    <row r="30" spans="2:15" x14ac:dyDescent="0.3">
      <c r="B30" t="s">
        <v>170</v>
      </c>
      <c r="C30" s="52">
        <f>IFERROR(HistoricalFS!C6/HistoricalFS!C53,0)</f>
        <v>14.633750356892568</v>
      </c>
      <c r="D30" s="52">
        <f>IFERROR(HistoricalFS!D6/HistoricalFS!D53,0)</f>
        <v>11.155553873073558</v>
      </c>
      <c r="E30" s="52">
        <f>IFERROR(HistoricalFS!E6/HistoricalFS!E53,0)</f>
        <v>10.93748176494935</v>
      </c>
      <c r="F30" s="52">
        <f>IFERROR(HistoricalFS!F6/HistoricalFS!F53,0)</f>
        <v>12.624882710020872</v>
      </c>
      <c r="G30" s="52">
        <f>IFERROR(HistoricalFS!G6/HistoricalFS!G53,0)</f>
        <v>7.995442461071022</v>
      </c>
      <c r="H30" s="52">
        <f>IFERROR(HistoricalFS!H6/HistoricalFS!H53,0)</f>
        <v>8.5786761791518042</v>
      </c>
      <c r="I30" s="52">
        <f>IFERROR(HistoricalFS!I6/HistoricalFS!I53,0)</f>
        <v>11.320361635220126</v>
      </c>
      <c r="J30" s="52">
        <f>IFERROR(HistoricalFS!J6/HistoricalFS!J53,0)</f>
        <v>13.534022681787858</v>
      </c>
      <c r="K30" s="52">
        <f>IFERROR(HistoricalFS!K6/HistoricalFS!K53,0)</f>
        <v>13.772984631976273</v>
      </c>
      <c r="L30" s="52">
        <f>IFERROR(HistoricalFS!L6/HistoricalFS!L53,0)</f>
        <v>14.883308714918758</v>
      </c>
      <c r="N30" s="52">
        <f t="shared" si="3"/>
        <v>11.943646500906217</v>
      </c>
      <c r="O30" s="52">
        <f t="shared" si="2"/>
        <v>11.972622172620499</v>
      </c>
    </row>
    <row r="31" spans="2:15" x14ac:dyDescent="0.3">
      <c r="B31" s="46" t="s">
        <v>171</v>
      </c>
      <c r="C31" s="50">
        <f>IFERROR(HistoricalFS!C6/SUM(HistoricalFS!C47:C48),0)</f>
        <v>3.2159125911222146</v>
      </c>
      <c r="D31" s="50">
        <f>IFERROR(HistoricalFS!D6/SUM(HistoricalFS!D47:D48),0)</f>
        <v>3.1331851109777475</v>
      </c>
      <c r="E31" s="50">
        <f>IFERROR(HistoricalFS!E6/SUM(HistoricalFS!E47:E48),0)</f>
        <v>3.1670235840530623</v>
      </c>
      <c r="F31" s="50">
        <f>IFERROR(HistoricalFS!F6/SUM(HistoricalFS!F47:F48),0)</f>
        <v>3.2583247530950636</v>
      </c>
      <c r="G31" s="50">
        <f>IFERROR(HistoricalFS!G6/SUM(HistoricalFS!G47:G48),0)</f>
        <v>3.1566951566951569</v>
      </c>
      <c r="H31" s="50">
        <f>IFERROR(HistoricalFS!H6/SUM(HistoricalFS!H47:H48),0)</f>
        <v>2.8870214752567693</v>
      </c>
      <c r="I31" s="50">
        <f>IFERROR(HistoricalFS!I6/SUM(HistoricalFS!I47:I48),0)</f>
        <v>3.0956680640653551</v>
      </c>
      <c r="J31" s="50">
        <f>IFERROR(HistoricalFS!J6/SUM(HistoricalFS!J47:J48),0)</f>
        <v>3.4237617078727531</v>
      </c>
      <c r="K31" s="50">
        <f>IFERROR(HistoricalFS!K6/SUM(HistoricalFS!K47:K48),0)</f>
        <v>5.4385180453529225</v>
      </c>
      <c r="L31" s="50">
        <f>IFERROR(HistoricalFS!L6/SUM(HistoricalFS!L47:L48),0)</f>
        <v>5.2009635237439777</v>
      </c>
      <c r="M31" s="57"/>
      <c r="N31" s="50">
        <f t="shared" si="3"/>
        <v>3.5977074012235022</v>
      </c>
      <c r="O31" s="50">
        <f t="shared" si="2"/>
        <v>3.1914680875876384</v>
      </c>
    </row>
    <row r="32" spans="2:15" x14ac:dyDescent="0.3">
      <c r="N32" s="42"/>
    </row>
    <row r="33" spans="2:15" x14ac:dyDescent="0.3">
      <c r="B33" s="43" t="s">
        <v>172</v>
      </c>
      <c r="C33" s="53">
        <f>IFERROR(365/C27,0)</f>
        <v>6.2312154517293088</v>
      </c>
      <c r="D33" s="53">
        <f t="shared" ref="D33:L33" si="6">IFERROR(365/D27,0)</f>
        <v>5.714121966724556</v>
      </c>
      <c r="E33" s="53">
        <f t="shared" si="6"/>
        <v>6.6953095484612994</v>
      </c>
      <c r="F33" s="53">
        <f t="shared" si="6"/>
        <v>7.7591371851887798</v>
      </c>
      <c r="G33" s="53">
        <f t="shared" si="6"/>
        <v>5.4094622838685158</v>
      </c>
      <c r="H33" s="53">
        <f t="shared" si="6"/>
        <v>6.172149325448161</v>
      </c>
      <c r="I33" s="53">
        <f t="shared" si="6"/>
        <v>7.160838918017987</v>
      </c>
      <c r="J33" s="53">
        <f t="shared" si="6"/>
        <v>6.0630930375847196</v>
      </c>
      <c r="K33" s="53">
        <f t="shared" si="6"/>
        <v>7.2737060527758199</v>
      </c>
      <c r="L33" s="53">
        <f t="shared" si="6"/>
        <v>6.4479952362048429</v>
      </c>
      <c r="M33" s="56"/>
      <c r="N33" s="53">
        <f t="shared" si="3"/>
        <v>6.4927029006003991</v>
      </c>
      <c r="O33" s="53">
        <f t="shared" si="2"/>
        <v>6.3396053439670759</v>
      </c>
    </row>
    <row r="34" spans="2:15" x14ac:dyDescent="0.3">
      <c r="B34" t="s">
        <v>173</v>
      </c>
      <c r="C34" s="54">
        <f>IFERROR(365/C28,0)</f>
        <v>88.129779556203559</v>
      </c>
      <c r="D34" s="54">
        <f t="shared" ref="D34:L34" si="7">IFERROR(365/D28,0)</f>
        <v>63.107467632116546</v>
      </c>
      <c r="E34" s="54">
        <f t="shared" si="7"/>
        <v>62.045224590673442</v>
      </c>
      <c r="F34" s="54">
        <f t="shared" si="7"/>
        <v>59.91596691764601</v>
      </c>
      <c r="G34" s="54">
        <f t="shared" si="7"/>
        <v>57.440860725821778</v>
      </c>
      <c r="H34" s="54">
        <f t="shared" si="7"/>
        <v>55.802300868600994</v>
      </c>
      <c r="I34" s="54">
        <f t="shared" si="7"/>
        <v>58.427375950553838</v>
      </c>
      <c r="J34" s="54">
        <f t="shared" si="7"/>
        <v>52.192975970425138</v>
      </c>
      <c r="K34" s="54">
        <f t="shared" si="7"/>
        <v>47.3433951922324</v>
      </c>
      <c r="L34" s="54">
        <f t="shared" si="7"/>
        <v>49.772727272727273</v>
      </c>
      <c r="N34" s="54">
        <f t="shared" si="3"/>
        <v>59.417807467700094</v>
      </c>
      <c r="O34" s="54">
        <f t="shared" si="2"/>
        <v>57.934118338187808</v>
      </c>
    </row>
    <row r="35" spans="2:15" x14ac:dyDescent="0.3">
      <c r="B35" t="s">
        <v>174</v>
      </c>
      <c r="C35" s="54">
        <f>IFERROR(365/C29,0)</f>
        <v>143.95402491510646</v>
      </c>
      <c r="D35" s="54">
        <f t="shared" ref="D35:L35" si="8">IFERROR(365/D29,0)</f>
        <v>135.57937926962339</v>
      </c>
      <c r="E35" s="54">
        <f t="shared" si="8"/>
        <v>134.15616972202457</v>
      </c>
      <c r="F35" s="54">
        <f t="shared" si="8"/>
        <v>129.89694375514446</v>
      </c>
      <c r="G35" s="54">
        <f t="shared" si="8"/>
        <v>140.48997719931597</v>
      </c>
      <c r="H35" s="54">
        <f t="shared" si="8"/>
        <v>141.79079652559599</v>
      </c>
      <c r="I35" s="54">
        <f t="shared" si="8"/>
        <v>172.48116254036597</v>
      </c>
      <c r="J35" s="54">
        <f t="shared" si="8"/>
        <v>149.18447319778187</v>
      </c>
      <c r="K35" s="54">
        <f t="shared" si="8"/>
        <v>136.12119254561114</v>
      </c>
      <c r="L35" s="54">
        <f t="shared" si="8"/>
        <v>170.15945481010985</v>
      </c>
      <c r="N35" s="54">
        <f t="shared" si="3"/>
        <v>145.38135744806794</v>
      </c>
      <c r="O35" s="54">
        <f t="shared" si="2"/>
        <v>141.14038686245598</v>
      </c>
    </row>
    <row r="36" spans="2:15" x14ac:dyDescent="0.3">
      <c r="B36" s="46" t="s">
        <v>175</v>
      </c>
      <c r="C36" s="55">
        <f>IFERROR(SUM(C33,C35)-C34,0)</f>
        <v>62.055460810632198</v>
      </c>
      <c r="D36" s="55">
        <f t="shared" ref="D36:L36" si="9">IFERROR(SUM(D33,D35)-D34,0)</f>
        <v>78.186033604231397</v>
      </c>
      <c r="E36" s="55">
        <f t="shared" si="9"/>
        <v>78.806254679812426</v>
      </c>
      <c r="F36" s="55">
        <f t="shared" si="9"/>
        <v>77.740114022687237</v>
      </c>
      <c r="G36" s="55">
        <f t="shared" si="9"/>
        <v>88.458578757362716</v>
      </c>
      <c r="H36" s="55">
        <f t="shared" si="9"/>
        <v>92.160644982443173</v>
      </c>
      <c r="I36" s="55">
        <f t="shared" si="9"/>
        <v>121.21462550783012</v>
      </c>
      <c r="J36" s="55">
        <f t="shared" si="9"/>
        <v>103.05459026494144</v>
      </c>
      <c r="K36" s="55">
        <f t="shared" si="9"/>
        <v>96.051503406154552</v>
      </c>
      <c r="L36" s="55">
        <f t="shared" si="9"/>
        <v>126.8347227735874</v>
      </c>
      <c r="M36" s="57"/>
      <c r="N36" s="55">
        <f t="shared" si="3"/>
        <v>92.456252880968265</v>
      </c>
      <c r="O36" s="55">
        <f t="shared" si="2"/>
        <v>90.309611869902938</v>
      </c>
    </row>
    <row r="37" spans="2:15" x14ac:dyDescent="0.3">
      <c r="N37" s="54"/>
      <c r="O37" s="54"/>
    </row>
    <row r="38" spans="2:15" x14ac:dyDescent="0.3">
      <c r="B38" s="43" t="s">
        <v>176</v>
      </c>
      <c r="C38" s="44">
        <f>IFERROR(HistoricalFS!C70/HistoricalFS!C6,0)</f>
        <v>5.1090423904454556E-2</v>
      </c>
      <c r="D38" s="44">
        <f>IFERROR(HistoricalFS!D70/HistoricalFS!D6,0)</f>
        <v>0.12912464755222713</v>
      </c>
      <c r="E38" s="44">
        <f>IFERROR(HistoricalFS!E70/HistoricalFS!E6,0)</f>
        <v>-3.1712611284156035E-3</v>
      </c>
      <c r="F38" s="44">
        <f>IFERROR(HistoricalFS!F70/HistoricalFS!F6,0)</f>
        <v>6.2841911326024402E-2</v>
      </c>
      <c r="G38" s="44">
        <f>IFERROR(HistoricalFS!G70/HistoricalFS!G6,0)</f>
        <v>-1.6530495914877447E-2</v>
      </c>
      <c r="H38" s="44">
        <f>IFERROR(HistoricalFS!H70/HistoricalFS!H6,0)</f>
        <v>0.19123082609499167</v>
      </c>
      <c r="I38" s="44">
        <f>IFERROR(HistoricalFS!I70/HistoricalFS!I6,0)</f>
        <v>-2.5139761797284627E-2</v>
      </c>
      <c r="J38" s="44">
        <f>IFERROR(HistoricalFS!J70/HistoricalFS!J6,0)</f>
        <v>3.3764633394947625E-2</v>
      </c>
      <c r="K38" s="44">
        <f>IFERROR(HistoricalFS!K70/HistoricalFS!K6,0)</f>
        <v>3.3180643645759927E-2</v>
      </c>
      <c r="L38" s="44">
        <f>IFERROR(HistoricalFS!L70/HistoricalFS!L6,0)</f>
        <v>-8.9486568744210661E-3</v>
      </c>
      <c r="M38" s="56"/>
      <c r="N38" s="44">
        <f t="shared" si="3"/>
        <v>4.4744291020340658E-2</v>
      </c>
      <c r="O38" s="44">
        <f t="shared" si="2"/>
        <v>3.3472638520353773E-2</v>
      </c>
    </row>
    <row r="39" spans="2:15" x14ac:dyDescent="0.3">
      <c r="B39" t="s">
        <v>177</v>
      </c>
      <c r="C39" s="45">
        <f>IFERROR(HistoricalFS!C70/HistoricalFS!C64,0)</f>
        <v>9.0838564407252714E-2</v>
      </c>
      <c r="D39" s="45">
        <f>IFERROR(HistoricalFS!D70/HistoricalFS!D64,0)</f>
        <v>0.20366170011073353</v>
      </c>
      <c r="E39" s="45">
        <f>IFERROR(HistoricalFS!E70/HistoricalFS!E64,0)</f>
        <v>-5.3691613521211958E-3</v>
      </c>
      <c r="F39" s="45">
        <f>IFERROR(HistoricalFS!F70/HistoricalFS!F64,0)</f>
        <v>0.10614320947169219</v>
      </c>
      <c r="G39" s="45">
        <f>IFERROR(HistoricalFS!G70/HistoricalFS!G64,0)</f>
        <v>-2.5694034258712344E-2</v>
      </c>
      <c r="H39" s="45">
        <f>IFERROR(HistoricalFS!H70/HistoricalFS!H64,0)</f>
        <v>0.25170274872293846</v>
      </c>
      <c r="I39" s="45">
        <f>IFERROR(HistoricalFS!I70/HistoricalFS!I64,0)</f>
        <v>-3.4170285067019066E-2</v>
      </c>
      <c r="J39" s="45">
        <f>IFERROR(HistoricalFS!J70/HistoricalFS!J64,0)</f>
        <v>5.0703182827535158E-2</v>
      </c>
      <c r="K39" s="45">
        <f>IFERROR(HistoricalFS!K70/HistoricalFS!K64,0)</f>
        <v>5.3729356198687669E-2</v>
      </c>
      <c r="L39" s="45">
        <f>IFERROR(HistoricalFS!L70/HistoricalFS!L64,0)</f>
        <v>-1.3310370279247139E-2</v>
      </c>
      <c r="N39" s="45">
        <f t="shared" si="3"/>
        <v>6.7823491078174009E-2</v>
      </c>
      <c r="O39" s="45">
        <f t="shared" si="2"/>
        <v>5.221626951311141E-2</v>
      </c>
    </row>
    <row r="40" spans="2:15" x14ac:dyDescent="0.3">
      <c r="B40" s="46" t="s">
        <v>178</v>
      </c>
      <c r="C40" s="47">
        <f>IFERROR(HistoricalFS!C70/HistoricalFS!C49,0)</f>
        <v>5.0958867757629376</v>
      </c>
      <c r="D40" s="47">
        <f>IFERROR(HistoricalFS!D70/HistoricalFS!D49,0)</f>
        <v>0.90962213734375241</v>
      </c>
      <c r="E40" s="47">
        <f>IFERROR(HistoricalFS!E70/HistoricalFS!E49,0)</f>
        <v>-3.0230453989036135E-2</v>
      </c>
      <c r="F40" s="47">
        <f>IFERROR(HistoricalFS!F70/HistoricalFS!F49,0)</f>
        <v>0.51940258589708233</v>
      </c>
      <c r="G40" s="47">
        <f>IFERROR(HistoricalFS!G70/HistoricalFS!G49,0)</f>
        <v>-9.7697922515440766E-2</v>
      </c>
      <c r="H40" s="47">
        <f>IFERROR(HistoricalFS!H70/HistoricalFS!H49,0)</f>
        <v>0.7341255764455481</v>
      </c>
      <c r="I40" s="47">
        <f>IFERROR(HistoricalFS!I70/HistoricalFS!I49,0)</f>
        <v>-9.9518900343642608E-2</v>
      </c>
      <c r="J40" s="47">
        <f>IFERROR(HistoricalFS!J70/HistoricalFS!J49,0)</f>
        <v>0.14625814027970535</v>
      </c>
      <c r="K40" s="47">
        <f>IFERROR(HistoricalFS!K70/HistoricalFS!K49,0)</f>
        <v>0.10915765069551778</v>
      </c>
      <c r="L40" s="47">
        <f>IFERROR(HistoricalFS!L70/HistoricalFS!L49,0)</f>
        <v>-2.6038407854839487E-2</v>
      </c>
      <c r="M40" s="57"/>
      <c r="N40" s="47">
        <f t="shared" si="3"/>
        <v>0.72609671817215837</v>
      </c>
      <c r="O40" s="47">
        <f t="shared" si="2"/>
        <v>0.12770789548761158</v>
      </c>
    </row>
  </sheetData>
  <mergeCells count="1">
    <mergeCell ref="B2:O2"/>
  </mergeCells>
  <pageMargins left="0.7" right="0.7" top="0.75" bottom="0.75" header="0.3" footer="0.3"/>
  <pageSetup paperSize="9" scale="55" orientation="portrait" horizontalDpi="0" verticalDpi="0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xr2:uid="{F0070A3A-DE33-4C85-90BE-363E6EF3F9FB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3333CC"/>
          <x14:colorLow theme="5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high="1" low="1" xr2:uid="{976A36B5-9B6B-489C-A3A0-94379CEC1093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3333CC"/>
          <x14:colorLow theme="5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FDEE-ACAE-47B8-9269-3928CCC36BF4}">
  <dimension ref="K15"/>
  <sheetViews>
    <sheetView showGridLines="0" workbookViewId="0">
      <selection activeCell="M15" sqref="M15"/>
    </sheetView>
  </sheetViews>
  <sheetFormatPr defaultRowHeight="14.4" x14ac:dyDescent="0.3"/>
  <cols>
    <col min="1" max="1" width="1.6640625" customWidth="1"/>
  </cols>
  <sheetData>
    <row r="15" spans="11:11" x14ac:dyDescent="0.3">
      <c r="K15" s="68"/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4D2C-B12C-496B-A3FC-97634D9C5CBD}">
  <sheetPr>
    <pageSetUpPr fitToPage="1"/>
  </sheetPr>
  <dimension ref="B2:O20"/>
  <sheetViews>
    <sheetView showGridLines="0" workbookViewId="0">
      <selection activeCell="N4" sqref="N4"/>
    </sheetView>
  </sheetViews>
  <sheetFormatPr defaultRowHeight="14.4" x14ac:dyDescent="0.3"/>
  <cols>
    <col min="1" max="1" width="1.88671875" customWidth="1"/>
    <col min="2" max="2" width="13.44140625" customWidth="1"/>
    <col min="3" max="3" width="9.109375" customWidth="1"/>
    <col min="4" max="4" width="11.5546875" customWidth="1"/>
    <col min="5" max="5" width="11.88671875" bestFit="1" customWidth="1"/>
    <col min="6" max="6" width="2.6640625" customWidth="1"/>
    <col min="7" max="7" width="11.109375" bestFit="1" customWidth="1"/>
    <col min="8" max="8" width="7.33203125" customWidth="1"/>
    <col min="9" max="9" width="10.44140625" bestFit="1" customWidth="1"/>
    <col min="10" max="10" width="17.33203125" customWidth="1"/>
    <col min="11" max="11" width="2.6640625" customWidth="1"/>
    <col min="12" max="12" width="13.33203125" customWidth="1"/>
    <col min="13" max="13" width="6.109375" bestFit="1" customWidth="1"/>
    <col min="14" max="14" width="13.109375" customWidth="1"/>
    <col min="15" max="15" width="18.109375" customWidth="1"/>
  </cols>
  <sheetData>
    <row r="2" spans="2:15" x14ac:dyDescent="0.3">
      <c r="B2" s="266" t="str">
        <f>'Data Sheet'!$B$1&amp;" - "&amp;'Data Sheet'!A17&amp;" Forecasting"</f>
        <v>TITAN COMPANY LTD - Sales Forecasting</v>
      </c>
      <c r="C2" s="266"/>
      <c r="D2" s="266"/>
      <c r="E2" s="266"/>
      <c r="G2" s="266" t="str">
        <f>'Data Sheet'!$B$1&amp;" - "&amp;HistoricalFS!B18&amp;" Forecasting"</f>
        <v>TITAN COMPANY LTD - EBITDA Forecasting</v>
      </c>
      <c r="H2" s="266"/>
      <c r="I2" s="266"/>
      <c r="J2" s="266"/>
      <c r="L2" s="266" t="str">
        <f>'Data Sheet'!$B$1&amp;" - "&amp;HistoricalFS!B38&amp;" Forecasting"</f>
        <v>TITAN COMPANY LTD - Earning Per Share Forecasting</v>
      </c>
      <c r="M2" s="266"/>
      <c r="N2" s="266"/>
      <c r="O2" s="266"/>
    </row>
    <row r="3" spans="2:15" x14ac:dyDescent="0.3">
      <c r="B3" s="119" t="s">
        <v>179</v>
      </c>
      <c r="C3" s="120" t="s">
        <v>80</v>
      </c>
      <c r="D3" s="120" t="s">
        <v>5</v>
      </c>
      <c r="E3" s="120" t="s">
        <v>28</v>
      </c>
      <c r="G3" s="119" t="s">
        <v>179</v>
      </c>
      <c r="H3" s="120" t="s">
        <v>80</v>
      </c>
      <c r="I3" s="120" t="s">
        <v>5</v>
      </c>
      <c r="J3" s="120" t="s">
        <v>150</v>
      </c>
      <c r="L3" s="119" t="s">
        <v>179</v>
      </c>
      <c r="M3" s="120" t="s">
        <v>80</v>
      </c>
      <c r="N3" s="120" t="s">
        <v>5</v>
      </c>
      <c r="O3" s="120" t="s">
        <v>180</v>
      </c>
    </row>
    <row r="4" spans="2:15" x14ac:dyDescent="0.3">
      <c r="B4" s="60">
        <v>1</v>
      </c>
      <c r="C4" s="62">
        <f>'Data Sheet'!$B$16</f>
        <v>42460</v>
      </c>
      <c r="D4" s="63">
        <f t="array" ref="D4:D13">TRANSPOSE('Data Sheet'!B17:K17)</f>
        <v>11275.89</v>
      </c>
      <c r="G4" s="60">
        <v>1</v>
      </c>
      <c r="H4" s="62">
        <f>'Data Sheet'!$B$16</f>
        <v>42460</v>
      </c>
      <c r="I4" s="63">
        <f t="array" ref="I4:I13">TRANSPOSE(HistoricalFS!C18:M18)</f>
        <v>939.32999999999765</v>
      </c>
      <c r="L4" s="60">
        <v>1</v>
      </c>
      <c r="M4" s="62">
        <f>'Data Sheet'!$B$16</f>
        <v>42460</v>
      </c>
      <c r="N4" s="63">
        <f t="array" ref="N4:N13">TRANSPOSE(HistoricalFS!C38:M38)</f>
        <v>6.8392656003604149</v>
      </c>
    </row>
    <row r="5" spans="2:15" x14ac:dyDescent="0.3">
      <c r="B5" s="60">
        <f>B4+1</f>
        <v>2</v>
      </c>
      <c r="C5" s="62">
        <f>C4+365</f>
        <v>42825</v>
      </c>
      <c r="D5" s="63">
        <v>13260.83</v>
      </c>
      <c r="E5" s="42">
        <f>D5/D4-1</f>
        <v>0.17603399820324617</v>
      </c>
      <c r="G5" s="60">
        <f>G4+1</f>
        <v>2</v>
      </c>
      <c r="H5" s="62">
        <f>H4+365</f>
        <v>42825</v>
      </c>
      <c r="I5" s="63">
        <v>1163.8999999999996</v>
      </c>
      <c r="J5" s="42">
        <f>I5/I4-1</f>
        <v>0.23907465959780105</v>
      </c>
      <c r="L5" s="60">
        <f>L4+1</f>
        <v>2</v>
      </c>
      <c r="M5" s="62">
        <f>M4+365</f>
        <v>42825</v>
      </c>
      <c r="N5" s="63">
        <v>8.3313809416535207</v>
      </c>
      <c r="O5" s="42">
        <f>N5/N4-1</f>
        <v>0.21816894217625848</v>
      </c>
    </row>
    <row r="6" spans="2:15" x14ac:dyDescent="0.3">
      <c r="B6" s="60">
        <f t="shared" ref="B6:B18" si="0">B5+1</f>
        <v>3</v>
      </c>
      <c r="C6" s="62">
        <f t="shared" ref="C6:C18" si="1">C5+365</f>
        <v>43190</v>
      </c>
      <c r="D6" s="63">
        <v>16119.77</v>
      </c>
      <c r="E6" s="42">
        <f t="shared" ref="E6:E18" si="2">D6/D5-1</f>
        <v>0.21559283996552248</v>
      </c>
      <c r="G6" s="60">
        <f t="shared" ref="G6:G13" si="3">G5+1</f>
        <v>3</v>
      </c>
      <c r="H6" s="62">
        <f t="shared" ref="H6:H18" si="4">H5+365</f>
        <v>43190</v>
      </c>
      <c r="I6" s="63">
        <v>1644.2000000000012</v>
      </c>
      <c r="J6" s="42">
        <f t="shared" ref="J6:J18" si="5">I6/I5-1</f>
        <v>0.41266431824040017</v>
      </c>
      <c r="L6" s="60">
        <f t="shared" ref="L6:L13" si="6">L5+1</f>
        <v>3</v>
      </c>
      <c r="M6" s="62">
        <f t="shared" ref="M6:M18" si="7">M5+365</f>
        <v>43190</v>
      </c>
      <c r="N6" s="63">
        <v>11.624014417661652</v>
      </c>
      <c r="O6" s="42">
        <f t="shared" ref="O6:O18" si="8">N6/N5-1</f>
        <v>0.3952086093610605</v>
      </c>
    </row>
    <row r="7" spans="2:15" x14ac:dyDescent="0.3">
      <c r="B7" s="60">
        <f t="shared" si="0"/>
        <v>4</v>
      </c>
      <c r="C7" s="62">
        <f t="shared" si="1"/>
        <v>43555</v>
      </c>
      <c r="D7" s="63">
        <v>19778.52</v>
      </c>
      <c r="E7" s="42">
        <f t="shared" si="2"/>
        <v>0.22697284142391605</v>
      </c>
      <c r="G7" s="60">
        <f t="shared" si="3"/>
        <v>4</v>
      </c>
      <c r="H7" s="62">
        <f t="shared" si="4"/>
        <v>43555</v>
      </c>
      <c r="I7" s="63">
        <v>1993.7900000000009</v>
      </c>
      <c r="J7" s="42">
        <f t="shared" si="5"/>
        <v>0.21262011920690882</v>
      </c>
      <c r="L7" s="60">
        <f t="shared" si="6"/>
        <v>4</v>
      </c>
      <c r="M7" s="62">
        <f t="shared" si="7"/>
        <v>43555</v>
      </c>
      <c r="N7" s="63">
        <v>13.631110610497869</v>
      </c>
      <c r="O7" s="42">
        <f t="shared" si="8"/>
        <v>0.1726680749626921</v>
      </c>
    </row>
    <row r="8" spans="2:15" x14ac:dyDescent="0.3">
      <c r="B8" s="60">
        <f t="shared" si="0"/>
        <v>5</v>
      </c>
      <c r="C8" s="62">
        <f t="shared" si="1"/>
        <v>43920</v>
      </c>
      <c r="D8" s="63">
        <v>21052</v>
      </c>
      <c r="E8" s="42">
        <f t="shared" si="2"/>
        <v>6.4387021880302431E-2</v>
      </c>
      <c r="G8" s="60">
        <f t="shared" si="3"/>
        <v>5</v>
      </c>
      <c r="H8" s="62">
        <f t="shared" si="4"/>
        <v>43920</v>
      </c>
      <c r="I8" s="63">
        <v>2463</v>
      </c>
      <c r="J8" s="42">
        <f t="shared" si="5"/>
        <v>0.23533571740253434</v>
      </c>
      <c r="L8" s="60">
        <f t="shared" si="6"/>
        <v>5</v>
      </c>
      <c r="M8" s="62">
        <f t="shared" si="7"/>
        <v>43920</v>
      </c>
      <c r="N8" s="63">
        <v>15.093489524667717</v>
      </c>
      <c r="O8" s="42">
        <f t="shared" si="8"/>
        <v>0.1072824479205392</v>
      </c>
    </row>
    <row r="9" spans="2:15" x14ac:dyDescent="0.3">
      <c r="B9" s="60">
        <f t="shared" si="0"/>
        <v>6</v>
      </c>
      <c r="C9" s="62">
        <f t="shared" si="1"/>
        <v>44285</v>
      </c>
      <c r="D9" s="63">
        <v>21644</v>
      </c>
      <c r="E9" s="42">
        <f t="shared" si="2"/>
        <v>2.8120843625308867E-2</v>
      </c>
      <c r="G9" s="60">
        <f t="shared" si="3"/>
        <v>6</v>
      </c>
      <c r="H9" s="62">
        <f t="shared" si="4"/>
        <v>44285</v>
      </c>
      <c r="I9" s="63">
        <v>1725</v>
      </c>
      <c r="J9" s="42">
        <f t="shared" si="5"/>
        <v>-0.29963459196102316</v>
      </c>
      <c r="L9" s="60">
        <f t="shared" si="6"/>
        <v>6</v>
      </c>
      <c r="M9" s="62">
        <f t="shared" si="7"/>
        <v>44285</v>
      </c>
      <c r="N9" s="63">
        <v>8.9434557332732592</v>
      </c>
      <c r="O9" s="42">
        <f t="shared" si="8"/>
        <v>-0.40746268656716422</v>
      </c>
    </row>
    <row r="10" spans="2:15" x14ac:dyDescent="0.3">
      <c r="B10" s="60">
        <f t="shared" si="0"/>
        <v>7</v>
      </c>
      <c r="C10" s="62">
        <f t="shared" si="1"/>
        <v>44650</v>
      </c>
      <c r="D10" s="63">
        <v>28799</v>
      </c>
      <c r="E10" s="42">
        <f t="shared" si="2"/>
        <v>0.33057660321567184</v>
      </c>
      <c r="G10" s="60">
        <f t="shared" si="3"/>
        <v>7</v>
      </c>
      <c r="H10" s="62">
        <f t="shared" si="4"/>
        <v>44650</v>
      </c>
      <c r="I10" s="63">
        <v>3344</v>
      </c>
      <c r="J10" s="42">
        <f t="shared" si="5"/>
        <v>0.93855072463768119</v>
      </c>
      <c r="L10" s="60">
        <f t="shared" si="6"/>
        <v>7</v>
      </c>
      <c r="M10" s="62">
        <f t="shared" si="7"/>
        <v>44650</v>
      </c>
      <c r="N10" s="63">
        <v>22.764136066681687</v>
      </c>
      <c r="O10" s="42">
        <f t="shared" si="8"/>
        <v>1.5453400503778343</v>
      </c>
    </row>
    <row r="11" spans="2:15" x14ac:dyDescent="0.3">
      <c r="B11" s="60">
        <f t="shared" si="0"/>
        <v>8</v>
      </c>
      <c r="C11" s="62">
        <f t="shared" si="1"/>
        <v>45015</v>
      </c>
      <c r="D11" s="63">
        <v>40575</v>
      </c>
      <c r="E11" s="42">
        <f t="shared" si="2"/>
        <v>0.40890308691274013</v>
      </c>
      <c r="G11" s="60">
        <f t="shared" si="3"/>
        <v>8</v>
      </c>
      <c r="H11" s="62">
        <f t="shared" si="4"/>
        <v>45015</v>
      </c>
      <c r="I11" s="63">
        <v>4882</v>
      </c>
      <c r="J11" s="42">
        <f t="shared" si="5"/>
        <v>0.45992822966507174</v>
      </c>
      <c r="L11" s="60">
        <f t="shared" si="6"/>
        <v>8</v>
      </c>
      <c r="M11" s="62">
        <f t="shared" si="7"/>
        <v>45015</v>
      </c>
      <c r="N11" s="63">
        <v>33.430952917323722</v>
      </c>
      <c r="O11" s="42">
        <f t="shared" si="8"/>
        <v>0.46857991093518048</v>
      </c>
    </row>
    <row r="12" spans="2:15" x14ac:dyDescent="0.3">
      <c r="B12" s="60">
        <f t="shared" si="0"/>
        <v>9</v>
      </c>
      <c r="C12" s="62">
        <f t="shared" si="1"/>
        <v>45380</v>
      </c>
      <c r="D12" s="63">
        <v>51084</v>
      </c>
      <c r="E12" s="42">
        <f t="shared" si="2"/>
        <v>0.25900184842883545</v>
      </c>
      <c r="G12" s="60">
        <f t="shared" si="3"/>
        <v>9</v>
      </c>
      <c r="H12" s="62">
        <f t="shared" si="4"/>
        <v>45380</v>
      </c>
      <c r="I12" s="63">
        <v>5292</v>
      </c>
      <c r="J12" s="42">
        <f t="shared" si="5"/>
        <v>8.3981974600573439E-2</v>
      </c>
      <c r="L12" s="60">
        <f t="shared" si="6"/>
        <v>9</v>
      </c>
      <c r="M12" s="62">
        <f t="shared" si="7"/>
        <v>45380</v>
      </c>
      <c r="N12" s="63">
        <v>33.363370128407297</v>
      </c>
      <c r="O12" s="42">
        <f t="shared" si="8"/>
        <v>-2.0215633423181778E-3</v>
      </c>
    </row>
    <row r="13" spans="2:15" x14ac:dyDescent="0.3">
      <c r="B13" s="60">
        <f t="shared" si="0"/>
        <v>10</v>
      </c>
      <c r="C13" s="62">
        <f t="shared" si="1"/>
        <v>45745</v>
      </c>
      <c r="D13" s="63">
        <v>60456</v>
      </c>
      <c r="E13" s="42">
        <f t="shared" si="2"/>
        <v>0.18346253229974163</v>
      </c>
      <c r="G13" s="60">
        <f t="shared" si="3"/>
        <v>10</v>
      </c>
      <c r="H13" s="62">
        <f t="shared" si="4"/>
        <v>45745</v>
      </c>
      <c r="I13" s="63">
        <v>5694</v>
      </c>
      <c r="J13" s="42">
        <f t="shared" si="5"/>
        <v>7.5963718820861725E-2</v>
      </c>
      <c r="L13" s="60">
        <f t="shared" si="6"/>
        <v>10</v>
      </c>
      <c r="M13" s="62">
        <f t="shared" si="7"/>
        <v>45745</v>
      </c>
      <c r="N13" s="63">
        <v>32.101824735300745</v>
      </c>
      <c r="O13" s="42">
        <f t="shared" si="8"/>
        <v>-3.781228899392286E-2</v>
      </c>
    </row>
    <row r="14" spans="2:15" x14ac:dyDescent="0.3">
      <c r="B14" s="64">
        <f>B13+1</f>
        <v>11</v>
      </c>
      <c r="C14" s="65">
        <f t="shared" si="1"/>
        <v>46110</v>
      </c>
      <c r="D14" s="66">
        <f>FORECAST(B14,$D$4:$D$13,$B$4:$B$13)</f>
        <v>56981.593333333338</v>
      </c>
      <c r="E14" s="67">
        <f t="shared" si="2"/>
        <v>-5.7470005734197804E-2</v>
      </c>
      <c r="G14" s="64">
        <f>G13+1</f>
        <v>11</v>
      </c>
      <c r="H14" s="65">
        <f t="shared" si="4"/>
        <v>46110</v>
      </c>
      <c r="I14" s="66">
        <f>FORECAST(G14,$I$4:$I$13,$G$4:$G$13)</f>
        <v>5953.8006666666679</v>
      </c>
      <c r="J14" s="67">
        <f t="shared" si="5"/>
        <v>4.56270928462712E-2</v>
      </c>
      <c r="L14" s="64">
        <f>L13+1</f>
        <v>11</v>
      </c>
      <c r="M14" s="65">
        <f t="shared" si="7"/>
        <v>46110</v>
      </c>
      <c r="N14" s="66">
        <f>FORECAST(L14,$N$4:$N$13,$L$4:$L$13)</f>
        <v>36.374656454156352</v>
      </c>
      <c r="O14" s="67">
        <f t="shared" si="8"/>
        <v>0.1331024561403511</v>
      </c>
    </row>
    <row r="15" spans="2:15" x14ac:dyDescent="0.3">
      <c r="B15" s="64">
        <f t="shared" si="0"/>
        <v>12</v>
      </c>
      <c r="C15" s="65">
        <f t="shared" si="1"/>
        <v>46475</v>
      </c>
      <c r="D15" s="66">
        <f t="shared" ref="D15:D18" si="9">FORECAST(B15,$D$4:$D$13,$B$4:$B$13)</f>
        <v>62177.428303030305</v>
      </c>
      <c r="E15" s="67">
        <f t="shared" si="2"/>
        <v>9.118444511198831E-2</v>
      </c>
      <c r="G15" s="64">
        <f t="shared" ref="G15:G18" si="10">G14+1</f>
        <v>12</v>
      </c>
      <c r="H15" s="65">
        <f t="shared" si="4"/>
        <v>46475</v>
      </c>
      <c r="I15" s="66">
        <f>FORECAST(G15,$I$4:$I$13,$G$4:$G$13)</f>
        <v>6506.4695151515152</v>
      </c>
      <c r="J15" s="67">
        <f t="shared" si="5"/>
        <v>9.2826226376548915E-2</v>
      </c>
      <c r="L15" s="64">
        <f t="shared" ref="L15:L18" si="11">L14+1</f>
        <v>12</v>
      </c>
      <c r="M15" s="65">
        <f t="shared" si="7"/>
        <v>46475</v>
      </c>
      <c r="N15" s="66">
        <f>FORECAST(L15,$N$4:$N$13,$L$4:$L$13)</f>
        <v>39.604175797169717</v>
      </c>
      <c r="O15" s="67">
        <f t="shared" si="8"/>
        <v>8.8784875455348633E-2</v>
      </c>
    </row>
    <row r="16" spans="2:15" x14ac:dyDescent="0.3">
      <c r="B16" s="64">
        <f t="shared" si="0"/>
        <v>13</v>
      </c>
      <c r="C16" s="65">
        <f t="shared" si="1"/>
        <v>46840</v>
      </c>
      <c r="D16" s="66">
        <f t="shared" si="9"/>
        <v>67373.263272727272</v>
      </c>
      <c r="E16" s="67">
        <f t="shared" si="2"/>
        <v>8.3564648965125166E-2</v>
      </c>
      <c r="G16" s="64">
        <f t="shared" si="10"/>
        <v>13</v>
      </c>
      <c r="H16" s="65">
        <f t="shared" si="4"/>
        <v>46840</v>
      </c>
      <c r="I16" s="66">
        <f t="shared" ref="I16:I18" si="12">FORECAST(G16,$I$4:$I$13,$G$4:$G$13)</f>
        <v>7059.1383636363644</v>
      </c>
      <c r="J16" s="67">
        <f>I16/I15-1</f>
        <v>8.4941433629690755E-2</v>
      </c>
      <c r="L16" s="64">
        <f t="shared" si="11"/>
        <v>13</v>
      </c>
      <c r="M16" s="65">
        <f t="shared" si="7"/>
        <v>46840</v>
      </c>
      <c r="N16" s="66">
        <f t="shared" ref="N16:N18" si="13">FORECAST(L16,$N$4:$N$13,$L$4:$L$13)</f>
        <v>42.833695140183096</v>
      </c>
      <c r="O16" s="67">
        <f t="shared" si="8"/>
        <v>8.1544919898173251E-2</v>
      </c>
    </row>
    <row r="17" spans="2:15" x14ac:dyDescent="0.3">
      <c r="B17" s="64">
        <f t="shared" si="0"/>
        <v>14</v>
      </c>
      <c r="C17" s="65">
        <f t="shared" si="1"/>
        <v>47205</v>
      </c>
      <c r="D17" s="66">
        <f t="shared" si="9"/>
        <v>72569.098242424254</v>
      </c>
      <c r="E17" s="67">
        <f t="shared" si="2"/>
        <v>7.7120132190483526E-2</v>
      </c>
      <c r="G17" s="64">
        <f t="shared" si="10"/>
        <v>14</v>
      </c>
      <c r="H17" s="65">
        <f t="shared" si="4"/>
        <v>47205</v>
      </c>
      <c r="I17" s="66">
        <f t="shared" si="12"/>
        <v>7611.8072121212135</v>
      </c>
      <c r="J17" s="67">
        <f t="shared" si="5"/>
        <v>7.8291261626461939E-2</v>
      </c>
      <c r="L17" s="64">
        <f t="shared" si="11"/>
        <v>14</v>
      </c>
      <c r="M17" s="65">
        <f t="shared" si="7"/>
        <v>47205</v>
      </c>
      <c r="N17" s="66">
        <f t="shared" si="13"/>
        <v>46.063214483196475</v>
      </c>
      <c r="O17" s="67">
        <f t="shared" si="8"/>
        <v>7.5396701882572525E-2</v>
      </c>
    </row>
    <row r="18" spans="2:15" x14ac:dyDescent="0.3">
      <c r="B18" s="64">
        <f t="shared" si="0"/>
        <v>15</v>
      </c>
      <c r="C18" s="65">
        <f t="shared" si="1"/>
        <v>47570</v>
      </c>
      <c r="D18" s="66">
        <f t="shared" si="9"/>
        <v>77764.933212121221</v>
      </c>
      <c r="E18" s="67">
        <f t="shared" si="2"/>
        <v>7.1598450243101741E-2</v>
      </c>
      <c r="G18" s="64">
        <f t="shared" si="10"/>
        <v>15</v>
      </c>
      <c r="H18" s="65">
        <f t="shared" si="4"/>
        <v>47570</v>
      </c>
      <c r="I18" s="66">
        <f t="shared" si="12"/>
        <v>8164.4760606060609</v>
      </c>
      <c r="J18" s="67">
        <f t="shared" si="5"/>
        <v>7.2606784838791683E-2</v>
      </c>
      <c r="L18" s="64">
        <f t="shared" si="11"/>
        <v>15</v>
      </c>
      <c r="M18" s="65">
        <f t="shared" si="7"/>
        <v>47570</v>
      </c>
      <c r="N18" s="66">
        <f t="shared" si="13"/>
        <v>49.292733826209854</v>
      </c>
      <c r="O18" s="67">
        <f t="shared" si="8"/>
        <v>7.0110594304952034E-2</v>
      </c>
    </row>
    <row r="19" spans="2:15" x14ac:dyDescent="0.3">
      <c r="B19" s="60"/>
      <c r="C19" s="61"/>
    </row>
    <row r="20" spans="2:15" x14ac:dyDescent="0.3">
      <c r="B20" s="60"/>
      <c r="C20" s="61"/>
    </row>
  </sheetData>
  <mergeCells count="3">
    <mergeCell ref="B2:E2"/>
    <mergeCell ref="G2:J2"/>
    <mergeCell ref="L2:O2"/>
  </mergeCells>
  <pageMargins left="0.7" right="0.7" top="0.75" bottom="0.75" header="0.3" footer="0.3"/>
  <pageSetup paperSize="9" scale="58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1E71-DB11-4FA3-9CD1-59E2632D654C}">
  <dimension ref="B1:R35"/>
  <sheetViews>
    <sheetView showGridLines="0" zoomScale="74" zoomScaleNormal="74" workbookViewId="0">
      <selection activeCell="O35" sqref="O35:Q35"/>
    </sheetView>
  </sheetViews>
  <sheetFormatPr defaultRowHeight="14.4" x14ac:dyDescent="0.3"/>
  <cols>
    <col min="1" max="1" width="1.88671875" customWidth="1"/>
    <col min="2" max="2" width="21.109375" customWidth="1"/>
    <col min="5" max="5" width="12.109375" bestFit="1" customWidth="1"/>
    <col min="6" max="6" width="16.33203125" customWidth="1"/>
    <col min="7" max="7" width="8.88671875" customWidth="1"/>
    <col min="8" max="8" width="16.44140625" customWidth="1"/>
    <col min="10" max="10" width="1.88671875" customWidth="1"/>
    <col min="13" max="13" width="10.6640625" bestFit="1" customWidth="1"/>
    <col min="14" max="14" width="1.88671875" customWidth="1"/>
    <col min="15" max="15" width="11.5546875" bestFit="1" customWidth="1"/>
    <col min="16" max="16" width="12.5546875" bestFit="1" customWidth="1"/>
    <col min="17" max="17" width="8.5546875" customWidth="1"/>
  </cols>
  <sheetData>
    <row r="1" spans="2:18" x14ac:dyDescent="0.3">
      <c r="B1" s="22" t="s">
        <v>181</v>
      </c>
    </row>
    <row r="2" spans="2:18" x14ac:dyDescent="0.3">
      <c r="B2" s="222" t="s">
        <v>182</v>
      </c>
      <c r="C2" s="220"/>
      <c r="D2" s="220"/>
      <c r="E2" s="220"/>
      <c r="F2" s="220"/>
      <c r="G2" s="220"/>
      <c r="H2" s="220"/>
      <c r="I2" s="220"/>
      <c r="J2" s="220"/>
      <c r="K2" s="220"/>
    </row>
    <row r="3" spans="2:18" ht="3.6" customHeight="1" x14ac:dyDescent="0.3"/>
    <row r="4" spans="2:18" ht="15" thickBot="1" x14ac:dyDescent="0.35">
      <c r="B4" s="221"/>
      <c r="C4" s="221"/>
      <c r="D4" s="268" t="s">
        <v>183</v>
      </c>
      <c r="E4" s="268"/>
      <c r="F4" s="268"/>
      <c r="G4" s="268"/>
      <c r="H4" s="268"/>
      <c r="I4" s="268"/>
      <c r="J4" s="221" t="s">
        <v>184</v>
      </c>
      <c r="K4" s="268" t="s">
        <v>185</v>
      </c>
      <c r="L4" s="268"/>
      <c r="M4" s="268"/>
      <c r="N4" s="221"/>
      <c r="O4" s="268" t="s">
        <v>186</v>
      </c>
      <c r="P4" s="268"/>
      <c r="Q4" s="268"/>
      <c r="R4" s="242"/>
    </row>
    <row r="5" spans="2:18" ht="28.8" x14ac:dyDescent="0.3">
      <c r="B5" s="195" t="s">
        <v>187</v>
      </c>
      <c r="C5" s="195" t="s">
        <v>188</v>
      </c>
      <c r="D5" s="243" t="s">
        <v>189</v>
      </c>
      <c r="E5" s="243" t="s">
        <v>190</v>
      </c>
      <c r="F5" s="243" t="s">
        <v>191</v>
      </c>
      <c r="G5" s="243" t="s">
        <v>192</v>
      </c>
      <c r="H5" s="243" t="s">
        <v>193</v>
      </c>
      <c r="I5" s="244"/>
      <c r="J5" s="244"/>
      <c r="K5" s="120" t="s">
        <v>194</v>
      </c>
      <c r="L5" s="120" t="s">
        <v>109</v>
      </c>
      <c r="M5" s="120" t="s">
        <v>195</v>
      </c>
      <c r="N5" s="244"/>
      <c r="O5" s="120" t="s">
        <v>196</v>
      </c>
      <c r="P5" s="120" t="s">
        <v>197</v>
      </c>
      <c r="Q5" s="120" t="s">
        <v>198</v>
      </c>
      <c r="R5" s="242"/>
    </row>
    <row r="6" spans="2:18" ht="3.6" customHeight="1" x14ac:dyDescent="0.3">
      <c r="B6" s="195"/>
      <c r="C6" s="195"/>
      <c r="D6" s="243"/>
      <c r="E6" s="243"/>
      <c r="F6" s="243"/>
      <c r="G6" s="243"/>
      <c r="H6" s="243"/>
      <c r="I6" s="244"/>
      <c r="J6" s="244"/>
      <c r="K6" s="120"/>
      <c r="L6" s="120"/>
      <c r="M6" s="120"/>
      <c r="N6" s="244"/>
      <c r="O6" s="244"/>
      <c r="P6" s="244"/>
      <c r="Q6" s="244"/>
      <c r="R6" s="242"/>
    </row>
    <row r="7" spans="2:18" x14ac:dyDescent="0.3">
      <c r="B7" s="248"/>
      <c r="C7" s="248"/>
      <c r="D7" s="245"/>
      <c r="E7" s="245"/>
      <c r="F7" s="245"/>
      <c r="G7" s="245"/>
      <c r="H7" s="245"/>
      <c r="I7" s="246"/>
      <c r="J7" s="246"/>
      <c r="K7" s="247"/>
      <c r="L7" s="247"/>
      <c r="M7" s="247"/>
      <c r="N7" s="246"/>
      <c r="O7" s="246"/>
      <c r="P7" s="246"/>
      <c r="Q7" s="246"/>
      <c r="R7" s="242"/>
    </row>
    <row r="8" spans="2:18" x14ac:dyDescent="0.3">
      <c r="B8" s="252" t="str">
        <f>Comps_Data!C4</f>
        <v>Titan Company</v>
      </c>
      <c r="C8" s="252"/>
      <c r="D8" s="253">
        <f>Comps_Data!D4</f>
        <v>4230.6000000000004</v>
      </c>
      <c r="E8" s="254">
        <f>Comps_Data!E4</f>
        <v>88.78</v>
      </c>
      <c r="F8" s="253">
        <f>E8*D8</f>
        <v>375592.66800000006</v>
      </c>
      <c r="G8" s="253">
        <f>Comps_Data!I4</f>
        <v>10881</v>
      </c>
      <c r="H8" s="253">
        <f>F8+G8</f>
        <v>386473.66800000006</v>
      </c>
      <c r="I8" s="253"/>
      <c r="J8" s="253"/>
      <c r="K8" s="253">
        <f>Comps_Data!K4</f>
        <v>75580</v>
      </c>
      <c r="L8" s="253">
        <f>Comps_Data!L4</f>
        <v>8313.7999999999993</v>
      </c>
      <c r="M8" s="253">
        <f>Comps_Data!M4</f>
        <v>4766</v>
      </c>
      <c r="N8" s="255"/>
      <c r="O8" s="256">
        <f>$H8/K8</f>
        <v>5.1134383170150839</v>
      </c>
      <c r="P8" s="256">
        <f>$H8/L8</f>
        <v>46.485802881955316</v>
      </c>
      <c r="Q8" s="256">
        <f>F8/M8</f>
        <v>78.806686529584567</v>
      </c>
    </row>
    <row r="9" spans="2:18" x14ac:dyDescent="0.3">
      <c r="B9" s="60" t="str">
        <f>Comps_Data!C5</f>
        <v>Kalyan Jewellers</v>
      </c>
      <c r="C9" s="60"/>
      <c r="D9" s="249">
        <f>Comps_Data!D5</f>
        <v>414.35</v>
      </c>
      <c r="E9" s="250">
        <f>Comps_Data!E5</f>
        <v>103.27</v>
      </c>
      <c r="F9" s="249">
        <f t="shared" ref="F9:F17" si="0">E9*D9</f>
        <v>42789.924500000001</v>
      </c>
      <c r="G9" s="249">
        <f>Comps_Data!I5</f>
        <v>4303.8900000000003</v>
      </c>
      <c r="H9" s="249">
        <f t="shared" ref="H9:H17" si="1">F9+G9</f>
        <v>47093.8145</v>
      </c>
      <c r="I9" s="249"/>
      <c r="J9" s="249"/>
      <c r="K9" s="249">
        <f>Comps_Data!K5</f>
        <v>31649.46</v>
      </c>
      <c r="L9" s="249">
        <f>Comps_Data!L5</f>
        <v>2215.4621999999999</v>
      </c>
      <c r="M9" s="249">
        <f>Comps_Data!M5</f>
        <v>1128.5</v>
      </c>
      <c r="N9" s="37"/>
      <c r="O9" s="251">
        <f t="shared" ref="O9:P17" si="2">$H9/K9</f>
        <v>1.487981611692585</v>
      </c>
      <c r="P9" s="251">
        <f t="shared" si="2"/>
        <v>21.256880167036929</v>
      </c>
      <c r="Q9" s="251">
        <f t="shared" ref="Q9:Q17" si="3">F9/M9</f>
        <v>37.917522817899865</v>
      </c>
    </row>
    <row r="10" spans="2:18" x14ac:dyDescent="0.3">
      <c r="B10" s="60" t="str">
        <f>Comps_Data!C6</f>
        <v>Thangamayil Jew.</v>
      </c>
      <c r="C10" s="60"/>
      <c r="D10" s="249">
        <f>Comps_Data!D6</f>
        <v>3862.6</v>
      </c>
      <c r="E10" s="250">
        <f>Comps_Data!E6</f>
        <v>3.11</v>
      </c>
      <c r="F10" s="249">
        <f t="shared" si="0"/>
        <v>12012.686</v>
      </c>
      <c r="G10" s="249">
        <f>Comps_Data!I6</f>
        <v>882.56</v>
      </c>
      <c r="H10" s="249">
        <f t="shared" si="1"/>
        <v>12895.245999999999</v>
      </c>
      <c r="I10" s="249"/>
      <c r="J10" s="249"/>
      <c r="K10" s="249">
        <f>Comps_Data!K6</f>
        <v>7055.32</v>
      </c>
      <c r="L10" s="249">
        <f>Comps_Data!L6</f>
        <v>423.31919999999997</v>
      </c>
      <c r="M10" s="249">
        <f>Comps_Data!M6</f>
        <v>240.4</v>
      </c>
      <c r="N10" s="37"/>
      <c r="O10" s="251">
        <f t="shared" si="2"/>
        <v>1.8277336818174086</v>
      </c>
      <c r="P10" s="251">
        <f t="shared" si="2"/>
        <v>30.462228030290145</v>
      </c>
      <c r="Q10" s="251">
        <f t="shared" si="3"/>
        <v>49.969575707154739</v>
      </c>
    </row>
    <row r="11" spans="2:18" x14ac:dyDescent="0.3">
      <c r="B11" s="60" t="str">
        <f>Comps_Data!C7</f>
        <v>P N Gadgil Jewe.</v>
      </c>
      <c r="C11" s="60"/>
      <c r="D11" s="249">
        <f>Comps_Data!D7</f>
        <v>599.1</v>
      </c>
      <c r="E11" s="250">
        <f>Comps_Data!E7</f>
        <v>13.57</v>
      </c>
      <c r="F11" s="249">
        <f t="shared" si="0"/>
        <v>8129.7870000000003</v>
      </c>
      <c r="G11" s="249">
        <f>Comps_Data!I7</f>
        <v>762.44</v>
      </c>
      <c r="H11" s="249">
        <f t="shared" si="1"/>
        <v>8892.2270000000008</v>
      </c>
      <c r="I11" s="249"/>
      <c r="J11" s="249"/>
      <c r="K11" s="249">
        <f>Comps_Data!K7</f>
        <v>8783.01</v>
      </c>
      <c r="L11" s="249">
        <f>Comps_Data!L7</f>
        <v>614.81070000000011</v>
      </c>
      <c r="M11" s="249">
        <f>Comps_Data!M7</f>
        <v>381.55</v>
      </c>
      <c r="N11" s="37"/>
      <c r="O11" s="251">
        <f t="shared" si="2"/>
        <v>1.0124350308151762</v>
      </c>
      <c r="P11" s="251">
        <f t="shared" si="2"/>
        <v>14.463357583073943</v>
      </c>
      <c r="Q11" s="251">
        <f t="shared" si="3"/>
        <v>21.307265102869874</v>
      </c>
    </row>
    <row r="12" spans="2:18" x14ac:dyDescent="0.3">
      <c r="B12" s="60" t="str">
        <f>Comps_Data!C8</f>
        <v>PC Jeweller</v>
      </c>
      <c r="C12" s="60"/>
      <c r="D12" s="249">
        <f>Comps_Data!D8</f>
        <v>8.43</v>
      </c>
      <c r="E12" s="250">
        <f>Comps_Data!E8</f>
        <v>836.86</v>
      </c>
      <c r="F12" s="249">
        <f t="shared" si="0"/>
        <v>7054.7298000000001</v>
      </c>
      <c r="G12" s="249">
        <f>Comps_Data!I8</f>
        <v>1530.71</v>
      </c>
      <c r="H12" s="249">
        <f t="shared" si="1"/>
        <v>8585.4398000000001</v>
      </c>
      <c r="I12" s="249"/>
      <c r="J12" s="249"/>
      <c r="K12" s="249">
        <f>Comps_Data!K8</f>
        <v>3124.56</v>
      </c>
      <c r="L12" s="249">
        <f>Comps_Data!L8</f>
        <v>843.63120000000004</v>
      </c>
      <c r="M12" s="249">
        <f>Comps_Data!M8</f>
        <v>656.35</v>
      </c>
      <c r="N12" s="37"/>
      <c r="O12" s="251">
        <f t="shared" si="2"/>
        <v>2.7477276160483397</v>
      </c>
      <c r="P12" s="251">
        <f t="shared" si="2"/>
        <v>10.176768948327183</v>
      </c>
      <c r="Q12" s="251">
        <f t="shared" si="3"/>
        <v>10.748426601660698</v>
      </c>
    </row>
    <row r="13" spans="2:18" x14ac:dyDescent="0.3">
      <c r="B13" s="60" t="str">
        <f>Comps_Data!C9</f>
        <v>Bluestone Jewel</v>
      </c>
      <c r="C13" s="60"/>
      <c r="D13" s="249">
        <f>Comps_Data!D9</f>
        <v>422.9</v>
      </c>
      <c r="E13" s="250">
        <f>Comps_Data!E9</f>
        <v>15.22</v>
      </c>
      <c r="F13" s="249">
        <f t="shared" si="0"/>
        <v>6436.5379999999996</v>
      </c>
      <c r="G13" s="249">
        <f>Comps_Data!I9</f>
        <v>1712.1</v>
      </c>
      <c r="H13" s="249">
        <f t="shared" si="1"/>
        <v>8148.637999999999</v>
      </c>
      <c r="I13" s="249"/>
      <c r="J13" s="249"/>
      <c r="K13" s="249">
        <f>Comps_Data!K9</f>
        <v>2214.87</v>
      </c>
      <c r="L13" s="249">
        <f>Comps_Data!L9</f>
        <v>354.37919999999997</v>
      </c>
      <c r="M13" s="249">
        <f>Comps_Data!M9</f>
        <v>-59.08</v>
      </c>
      <c r="N13" s="37"/>
      <c r="O13" s="251">
        <f t="shared" si="2"/>
        <v>3.6790592675868106</v>
      </c>
      <c r="P13" s="251">
        <f t="shared" si="2"/>
        <v>22.994120422417566</v>
      </c>
      <c r="Q13" s="251">
        <f t="shared" si="3"/>
        <v>-108.94614082599864</v>
      </c>
    </row>
    <row r="14" spans="2:18" x14ac:dyDescent="0.3">
      <c r="B14" s="60" t="str">
        <f>Comps_Data!C10</f>
        <v>Ethos</v>
      </c>
      <c r="C14" s="60"/>
      <c r="D14" s="249">
        <f>Comps_Data!D10</f>
        <v>2301.1999999999998</v>
      </c>
      <c r="E14" s="250">
        <f>Comps_Data!E10</f>
        <v>2.68</v>
      </c>
      <c r="F14" s="249">
        <f t="shared" si="0"/>
        <v>6167.2159999999994</v>
      </c>
      <c r="G14" s="249">
        <f>Comps_Data!I10</f>
        <v>93.819999999999965</v>
      </c>
      <c r="H14" s="249">
        <f t="shared" si="1"/>
        <v>6261.0359999999991</v>
      </c>
      <c r="I14" s="249"/>
      <c r="J14" s="249"/>
      <c r="K14" s="249">
        <f>Comps_Data!K10</f>
        <v>1509.55</v>
      </c>
      <c r="L14" s="249">
        <f>Comps_Data!L10</f>
        <v>241.52799999999999</v>
      </c>
      <c r="M14" s="249">
        <f>Comps_Data!M10</f>
        <v>96.13</v>
      </c>
      <c r="N14" s="37"/>
      <c r="O14" s="251">
        <f t="shared" si="2"/>
        <v>4.1476175019045405</v>
      </c>
      <c r="P14" s="251">
        <f t="shared" si="2"/>
        <v>25.922609386903378</v>
      </c>
      <c r="Q14" s="251">
        <f t="shared" si="3"/>
        <v>64.154956829293667</v>
      </c>
    </row>
    <row r="15" spans="2:18" x14ac:dyDescent="0.3">
      <c r="B15" s="60" t="str">
        <f>Comps_Data!C11</f>
        <v>Sky Gold &amp; Diam.</v>
      </c>
      <c r="C15" s="60"/>
      <c r="D15" s="249">
        <f>Comps_Data!D11</f>
        <v>369.3</v>
      </c>
      <c r="E15" s="250">
        <f>Comps_Data!E11</f>
        <v>15.49</v>
      </c>
      <c r="F15" s="249">
        <f t="shared" si="0"/>
        <v>5720.4570000000003</v>
      </c>
      <c r="G15" s="249">
        <f>Comps_Data!I11</f>
        <v>638.59</v>
      </c>
      <c r="H15" s="249">
        <f t="shared" si="1"/>
        <v>6359.0470000000005</v>
      </c>
      <c r="I15" s="249"/>
      <c r="J15" s="249"/>
      <c r="K15" s="249">
        <f>Comps_Data!K11</f>
        <v>5441.55</v>
      </c>
      <c r="L15" s="249">
        <f>Comps_Data!L11</f>
        <v>380.90850000000006</v>
      </c>
      <c r="M15" s="249">
        <f>Comps_Data!M11</f>
        <v>229.29</v>
      </c>
      <c r="N15" s="37"/>
      <c r="O15" s="251">
        <f t="shared" si="2"/>
        <v>1.1686094954562578</v>
      </c>
      <c r="P15" s="251">
        <f t="shared" si="2"/>
        <v>16.694421363660826</v>
      </c>
      <c r="Q15" s="251">
        <f t="shared" si="3"/>
        <v>24.94856731649876</v>
      </c>
    </row>
    <row r="16" spans="2:18" x14ac:dyDescent="0.3">
      <c r="B16" s="60" t="str">
        <f>Comps_Data!C12</f>
        <v>Senco Gold</v>
      </c>
      <c r="C16" s="60"/>
      <c r="D16" s="249">
        <f>Comps_Data!D12</f>
        <v>315.95</v>
      </c>
      <c r="E16" s="250">
        <f>Comps_Data!E12</f>
        <v>16.38</v>
      </c>
      <c r="F16" s="249">
        <f t="shared" si="0"/>
        <v>5175.2609999999995</v>
      </c>
      <c r="G16" s="249">
        <f>Comps_Data!I12</f>
        <v>1823.8</v>
      </c>
      <c r="H16" s="249">
        <f t="shared" si="1"/>
        <v>6999.0609999999997</v>
      </c>
      <c r="I16" s="249"/>
      <c r="J16" s="249"/>
      <c r="K16" s="249">
        <f>Comps_Data!K12</f>
        <v>7773.13</v>
      </c>
      <c r="L16" s="249">
        <f>Comps_Data!L12</f>
        <v>932.77559999999994</v>
      </c>
      <c r="M16" s="249">
        <f>Comps_Data!M12</f>
        <v>485.09</v>
      </c>
      <c r="N16" s="37"/>
      <c r="O16" s="251">
        <f t="shared" si="2"/>
        <v>0.90041733510181865</v>
      </c>
      <c r="P16" s="251">
        <f t="shared" si="2"/>
        <v>7.5034777925151559</v>
      </c>
      <c r="Q16" s="251">
        <f t="shared" si="3"/>
        <v>10.668661485497536</v>
      </c>
    </row>
    <row r="17" spans="2:17" x14ac:dyDescent="0.3">
      <c r="B17" s="60" t="str">
        <f>Comps_Data!C13</f>
        <v>Goldiam Intl.</v>
      </c>
      <c r="C17" s="60"/>
      <c r="D17" s="249">
        <f>Comps_Data!D13</f>
        <v>304.10000000000002</v>
      </c>
      <c r="E17" s="250">
        <f>Comps_Data!E13</f>
        <v>11.29</v>
      </c>
      <c r="F17" s="249">
        <f t="shared" si="0"/>
        <v>3433.2890000000002</v>
      </c>
      <c r="G17" s="249">
        <f>Comps_Data!I13</f>
        <v>-157.84</v>
      </c>
      <c r="H17" s="249">
        <f t="shared" si="1"/>
        <v>3275.4490000000001</v>
      </c>
      <c r="I17" s="249"/>
      <c r="J17" s="249"/>
      <c r="K17" s="249">
        <f>Comps_Data!K13</f>
        <v>940.82</v>
      </c>
      <c r="L17" s="249">
        <f>Comps_Data!L13</f>
        <v>225.79679999999999</v>
      </c>
      <c r="M17" s="249">
        <f>Comps_Data!M13</f>
        <v>156.54</v>
      </c>
      <c r="N17" s="37"/>
      <c r="O17" s="251">
        <f t="shared" si="2"/>
        <v>3.4814831742522481</v>
      </c>
      <c r="P17" s="251">
        <f t="shared" si="2"/>
        <v>14.506179892717702</v>
      </c>
      <c r="Q17" s="251">
        <f t="shared" si="3"/>
        <v>21.932343171074489</v>
      </c>
    </row>
    <row r="18" spans="2:17" ht="3.6" customHeight="1" x14ac:dyDescent="0.3"/>
    <row r="19" spans="2:17" x14ac:dyDescent="0.3">
      <c r="B19" t="s">
        <v>199</v>
      </c>
      <c r="O19" s="257">
        <f>MAX(O8:O17)</f>
        <v>5.1134383170150839</v>
      </c>
      <c r="P19" s="257">
        <f t="shared" ref="P19:Q19" si="4">MAX(P8:P17)</f>
        <v>46.485802881955316</v>
      </c>
      <c r="Q19" s="257">
        <f t="shared" si="4"/>
        <v>78.806686529584567</v>
      </c>
    </row>
    <row r="20" spans="2:17" x14ac:dyDescent="0.3">
      <c r="B20" t="s">
        <v>200</v>
      </c>
      <c r="O20" s="218">
        <f>QUARTILE(O8:O17,3)</f>
        <v>3.6296652442531698</v>
      </c>
      <c r="P20" s="218">
        <f t="shared" ref="P20:Q20" si="5">QUARTILE(P8:P17,3)</f>
        <v>25.190487145781926</v>
      </c>
      <c r="Q20" s="218">
        <f t="shared" si="5"/>
        <v>46.956562484841022</v>
      </c>
    </row>
    <row r="21" spans="2:17" x14ac:dyDescent="0.3">
      <c r="B21" s="2" t="s">
        <v>201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58">
        <f>AVERAGE(O8:O17)</f>
        <v>2.5566503031690266</v>
      </c>
      <c r="P21" s="258">
        <f t="shared" ref="P21:Q21" si="6">AVERAGE(P8:P17)</f>
        <v>21.046584646889819</v>
      </c>
      <c r="Q21" s="258">
        <f t="shared" si="6"/>
        <v>21.150786473553552</v>
      </c>
    </row>
    <row r="22" spans="2:17" x14ac:dyDescent="0.3">
      <c r="B22" s="2" t="s">
        <v>148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58">
        <f>MEDIAN(O8:O17)</f>
        <v>2.2877306489328744</v>
      </c>
      <c r="P22" s="258">
        <f t="shared" ref="P22:Q22" si="7">MEDIAN(P8:P17)</f>
        <v>18.975650765348878</v>
      </c>
      <c r="Q22" s="258">
        <f t="shared" si="7"/>
        <v>23.440455243786623</v>
      </c>
    </row>
    <row r="23" spans="2:17" x14ac:dyDescent="0.3">
      <c r="B23" t="s">
        <v>202</v>
      </c>
      <c r="O23" s="218">
        <f>QUARTILE(O8:O17,1)</f>
        <v>1.2484525245153395</v>
      </c>
      <c r="P23" s="218">
        <f t="shared" ref="P23:Q23" si="8">QUARTILE(P8:P17,1)</f>
        <v>14.474063160484883</v>
      </c>
      <c r="Q23" s="218">
        <f t="shared" si="8"/>
        <v>13.388136226962992</v>
      </c>
    </row>
    <row r="24" spans="2:17" x14ac:dyDescent="0.3">
      <c r="B24" t="s">
        <v>203</v>
      </c>
      <c r="O24" s="257">
        <f>MIN(O8:O17)</f>
        <v>0.90041733510181865</v>
      </c>
      <c r="P24" s="257">
        <f t="shared" ref="P24:Q24" si="9">MIN(P8:P17)</f>
        <v>7.5034777925151559</v>
      </c>
      <c r="Q24" s="257">
        <f t="shared" si="9"/>
        <v>-108.94614082599864</v>
      </c>
    </row>
    <row r="25" spans="2:17" ht="4.2" customHeight="1" x14ac:dyDescent="0.3"/>
    <row r="26" spans="2:17" x14ac:dyDescent="0.3">
      <c r="B26" s="195" t="s">
        <v>204</v>
      </c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20" t="s">
        <v>196</v>
      </c>
      <c r="P26" s="120" t="s">
        <v>197</v>
      </c>
      <c r="Q26" s="120" t="s">
        <v>198</v>
      </c>
    </row>
    <row r="27" spans="2:17" x14ac:dyDescent="0.3">
      <c r="B27" t="s">
        <v>205</v>
      </c>
      <c r="O27" s="228">
        <f>O$22*K8</f>
        <v>172906.68244634665</v>
      </c>
      <c r="P27" s="228">
        <f>P$22*L8</f>
        <v>157759.7653329575</v>
      </c>
      <c r="Q27" s="228">
        <f>Q29+Q28</f>
        <v>122598.20969188705</v>
      </c>
    </row>
    <row r="28" spans="2:17" x14ac:dyDescent="0.3">
      <c r="B28" t="s">
        <v>192</v>
      </c>
      <c r="O28" s="228">
        <f>$G$8</f>
        <v>10881</v>
      </c>
      <c r="P28" s="228">
        <f t="shared" ref="P28:Q28" si="10">$G$8</f>
        <v>10881</v>
      </c>
      <c r="Q28" s="228">
        <f t="shared" si="10"/>
        <v>10881</v>
      </c>
    </row>
    <row r="29" spans="2:17" x14ac:dyDescent="0.3">
      <c r="B29" t="s">
        <v>206</v>
      </c>
      <c r="O29" s="228">
        <f>O27-O28</f>
        <v>162025.68244634665</v>
      </c>
      <c r="P29" s="228">
        <f t="shared" ref="P29" si="11">P27-P28</f>
        <v>146878.7653329575</v>
      </c>
      <c r="Q29" s="228">
        <f>Q22*M8</f>
        <v>111717.20969188705</v>
      </c>
    </row>
    <row r="30" spans="2:17" x14ac:dyDescent="0.3">
      <c r="B30" t="s">
        <v>190</v>
      </c>
      <c r="O30" s="259">
        <f>$E$8</f>
        <v>88.78</v>
      </c>
      <c r="P30" s="259">
        <f t="shared" ref="P30:Q30" si="12">$E$8</f>
        <v>88.78</v>
      </c>
      <c r="Q30" s="259">
        <f t="shared" si="12"/>
        <v>88.78</v>
      </c>
    </row>
    <row r="31" spans="2:17" x14ac:dyDescent="0.3">
      <c r="B31" s="202" t="s">
        <v>207</v>
      </c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66">
        <f>O29/O30</f>
        <v>1825.0245826351279</v>
      </c>
      <c r="P31" s="66">
        <f t="shared" ref="P31:Q31" si="13">P29/P30</f>
        <v>1654.412765633673</v>
      </c>
      <c r="Q31" s="66">
        <f t="shared" si="13"/>
        <v>1258.3601001564209</v>
      </c>
    </row>
    <row r="32" spans="2:17" ht="3.6" customHeight="1" x14ac:dyDescent="0.3"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66"/>
      <c r="P32" s="66"/>
      <c r="Q32" s="66"/>
    </row>
    <row r="33" spans="2:17" x14ac:dyDescent="0.3">
      <c r="B33" s="260" t="s">
        <v>208</v>
      </c>
      <c r="O33" t="str">
        <f>IF(O31&gt;$D$8,"Undervalued","Overvalued")</f>
        <v>Overvalued</v>
      </c>
      <c r="P33" t="str">
        <f t="shared" ref="P33:Q33" si="14">IF(P31&gt;$D$8,"Undervalued","Overvalued")</f>
        <v>Overvalued</v>
      </c>
      <c r="Q33" t="str">
        <f t="shared" si="14"/>
        <v>Overvalued</v>
      </c>
    </row>
    <row r="34" spans="2:17" x14ac:dyDescent="0.3">
      <c r="O34" s="236">
        <f>$D$8/O$31-1</f>
        <v>1.3181057615626717</v>
      </c>
      <c r="P34" s="236">
        <f t="shared" ref="P34:Q35" si="15">$D$8/P$31-1</f>
        <v>1.5571611195707842</v>
      </c>
      <c r="Q34" s="236">
        <f t="shared" si="15"/>
        <v>2.3619947099992396</v>
      </c>
    </row>
    <row r="35" spans="2:17" x14ac:dyDescent="0.3">
      <c r="O35" s="240">
        <f>$D$8/O$31-1</f>
        <v>1.3181057615626717</v>
      </c>
      <c r="P35" s="240">
        <f t="shared" si="15"/>
        <v>1.5571611195707842</v>
      </c>
      <c r="Q35" s="240">
        <f t="shared" si="15"/>
        <v>2.3619947099992396</v>
      </c>
    </row>
  </sheetData>
  <mergeCells count="3">
    <mergeCell ref="D4:I4"/>
    <mergeCell ref="K4:M4"/>
    <mergeCell ref="O4:Q4"/>
  </mergeCells>
  <pageMargins left="0.7" right="0.7" top="0.75" bottom="0.75" header="0.3" footer="0.3"/>
  <pageSetup paperSize="9" scale="4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229A-4739-45F7-98F1-5DC7B0C4BBA3}">
  <dimension ref="B3:M40"/>
  <sheetViews>
    <sheetView workbookViewId="0">
      <selection activeCell="G17" sqref="G17"/>
    </sheetView>
  </sheetViews>
  <sheetFormatPr defaultRowHeight="14.4" x14ac:dyDescent="0.3"/>
  <cols>
    <col min="2" max="2" width="5.44140625" bestFit="1" customWidth="1"/>
    <col min="3" max="3" width="16.33203125" bestFit="1" customWidth="1"/>
    <col min="4" max="4" width="7.6640625" bestFit="1" customWidth="1"/>
    <col min="5" max="5" width="15.6640625" bestFit="1" customWidth="1"/>
    <col min="6" max="6" width="15.6640625" customWidth="1"/>
    <col min="7" max="7" width="10.109375" bestFit="1" customWidth="1"/>
    <col min="8" max="8" width="13.6640625" bestFit="1" customWidth="1"/>
    <col min="9" max="10" width="13.6640625" customWidth="1"/>
    <col min="11" max="11" width="10.33203125" bestFit="1" customWidth="1"/>
    <col min="12" max="12" width="15.88671875" bestFit="1" customWidth="1"/>
    <col min="13" max="13" width="12.6640625" bestFit="1" customWidth="1"/>
  </cols>
  <sheetData>
    <row r="3" spans="2:13" x14ac:dyDescent="0.3">
      <c r="B3" t="s">
        <v>86</v>
      </c>
      <c r="C3" t="s">
        <v>87</v>
      </c>
      <c r="D3" t="s">
        <v>88</v>
      </c>
      <c r="E3" t="s">
        <v>209</v>
      </c>
      <c r="F3" t="s">
        <v>210</v>
      </c>
      <c r="G3" t="s">
        <v>90</v>
      </c>
      <c r="H3" t="s">
        <v>211</v>
      </c>
      <c r="J3" t="s">
        <v>212</v>
      </c>
      <c r="K3" t="s">
        <v>213</v>
      </c>
      <c r="L3" t="s">
        <v>109</v>
      </c>
      <c r="M3" t="s">
        <v>214</v>
      </c>
    </row>
    <row r="4" spans="2:13" x14ac:dyDescent="0.3">
      <c r="B4">
        <v>1</v>
      </c>
      <c r="C4" t="s">
        <v>92</v>
      </c>
      <c r="D4" s="218">
        <v>4230.6000000000004</v>
      </c>
      <c r="E4" s="218">
        <v>88.78</v>
      </c>
      <c r="F4" s="218">
        <f>E4*D4</f>
        <v>375592.66800000006</v>
      </c>
      <c r="G4" s="218">
        <v>12465</v>
      </c>
      <c r="H4" s="218">
        <v>1584</v>
      </c>
      <c r="I4" s="218">
        <f>G4-H4</f>
        <v>10881</v>
      </c>
      <c r="J4" s="218">
        <f t="shared" ref="J4:J13" si="0">F4+G4-H4</f>
        <v>386473.66800000006</v>
      </c>
      <c r="K4" s="218">
        <v>75580</v>
      </c>
      <c r="L4" s="240">
        <v>8313.7999999999993</v>
      </c>
      <c r="M4" s="218">
        <v>4766</v>
      </c>
    </row>
    <row r="5" spans="2:13" x14ac:dyDescent="0.3">
      <c r="B5">
        <v>2</v>
      </c>
      <c r="C5" t="s">
        <v>93</v>
      </c>
      <c r="D5" s="218">
        <v>414.35</v>
      </c>
      <c r="E5" s="218">
        <v>103.27</v>
      </c>
      <c r="F5" s="218">
        <f t="shared" ref="F5:F40" si="1">E5*D5</f>
        <v>42789.924500000001</v>
      </c>
      <c r="G5" s="218">
        <v>5334.96</v>
      </c>
      <c r="H5" s="218">
        <v>1031.07</v>
      </c>
      <c r="I5" s="218">
        <f t="shared" ref="I5:I13" si="2">G5-H5</f>
        <v>4303.8900000000003</v>
      </c>
      <c r="J5" s="218">
        <f t="shared" si="0"/>
        <v>47093.8145</v>
      </c>
      <c r="K5" s="218">
        <v>31649.46</v>
      </c>
      <c r="L5" s="240">
        <v>2215.4621999999999</v>
      </c>
      <c r="M5" s="218">
        <v>1128.5</v>
      </c>
    </row>
    <row r="6" spans="2:13" x14ac:dyDescent="0.3">
      <c r="B6">
        <v>3</v>
      </c>
      <c r="C6" t="s">
        <v>94</v>
      </c>
      <c r="D6" s="218">
        <v>3862.6</v>
      </c>
      <c r="E6" s="218">
        <v>3.11</v>
      </c>
      <c r="F6" s="218">
        <f t="shared" si="1"/>
        <v>12012.686</v>
      </c>
      <c r="G6" s="218">
        <v>1124.3499999999999</v>
      </c>
      <c r="H6" s="218">
        <v>241.79</v>
      </c>
      <c r="I6" s="218">
        <f t="shared" si="2"/>
        <v>882.56</v>
      </c>
      <c r="J6" s="218">
        <f t="shared" si="0"/>
        <v>12895.245999999999</v>
      </c>
      <c r="K6" s="218">
        <v>7055.32</v>
      </c>
      <c r="L6" s="240">
        <v>423.31919999999997</v>
      </c>
      <c r="M6" s="218">
        <v>240.4</v>
      </c>
    </row>
    <row r="7" spans="2:13" x14ac:dyDescent="0.3">
      <c r="B7">
        <v>4</v>
      </c>
      <c r="C7" t="s">
        <v>95</v>
      </c>
      <c r="D7" s="218">
        <v>599.1</v>
      </c>
      <c r="E7" s="218">
        <v>13.57</v>
      </c>
      <c r="F7" s="218">
        <f t="shared" si="1"/>
        <v>8129.7870000000003</v>
      </c>
      <c r="G7" s="218">
        <v>1291.1300000000001</v>
      </c>
      <c r="H7" s="218">
        <v>528.69000000000005</v>
      </c>
      <c r="I7" s="218">
        <f t="shared" si="2"/>
        <v>762.44</v>
      </c>
      <c r="J7" s="218">
        <f t="shared" si="0"/>
        <v>8892.2270000000008</v>
      </c>
      <c r="K7" s="218">
        <v>8783.01</v>
      </c>
      <c r="L7" s="240">
        <v>614.81070000000011</v>
      </c>
      <c r="M7" s="218">
        <v>381.55</v>
      </c>
    </row>
    <row r="8" spans="2:13" x14ac:dyDescent="0.3">
      <c r="B8">
        <v>5</v>
      </c>
      <c r="C8" t="s">
        <v>96</v>
      </c>
      <c r="D8" s="218">
        <v>8.43</v>
      </c>
      <c r="E8" s="218">
        <v>836.86</v>
      </c>
      <c r="F8" s="218">
        <f t="shared" si="1"/>
        <v>7054.7298000000001</v>
      </c>
      <c r="G8" s="218">
        <v>1594.49</v>
      </c>
      <c r="H8" s="218">
        <v>63.78</v>
      </c>
      <c r="I8" s="218">
        <f t="shared" si="2"/>
        <v>1530.71</v>
      </c>
      <c r="J8" s="218">
        <f t="shared" si="0"/>
        <v>8585.4398000000001</v>
      </c>
      <c r="K8" s="218">
        <v>3124.56</v>
      </c>
      <c r="L8" s="240">
        <v>843.63120000000004</v>
      </c>
      <c r="M8" s="218">
        <v>656.35</v>
      </c>
    </row>
    <row r="9" spans="2:13" x14ac:dyDescent="0.3">
      <c r="B9">
        <v>6</v>
      </c>
      <c r="C9" t="s">
        <v>97</v>
      </c>
      <c r="D9" s="218">
        <v>422.9</v>
      </c>
      <c r="E9" s="218">
        <v>15.22</v>
      </c>
      <c r="F9" s="218">
        <f t="shared" si="1"/>
        <v>6436.5379999999996</v>
      </c>
      <c r="G9" s="218">
        <v>1889.28</v>
      </c>
      <c r="H9" s="218">
        <v>177.18</v>
      </c>
      <c r="I9" s="218">
        <f t="shared" si="2"/>
        <v>1712.1</v>
      </c>
      <c r="J9" s="218">
        <f t="shared" si="0"/>
        <v>8148.637999999999</v>
      </c>
      <c r="K9" s="218">
        <v>2214.87</v>
      </c>
      <c r="L9" s="240">
        <v>354.37919999999997</v>
      </c>
      <c r="M9" s="218">
        <v>-59.08</v>
      </c>
    </row>
    <row r="10" spans="2:13" x14ac:dyDescent="0.3">
      <c r="B10">
        <v>7</v>
      </c>
      <c r="C10" t="s">
        <v>215</v>
      </c>
      <c r="D10" s="218">
        <v>2301.1999999999998</v>
      </c>
      <c r="E10" s="218">
        <v>2.68</v>
      </c>
      <c r="F10" s="218">
        <f t="shared" si="1"/>
        <v>6167.2159999999994</v>
      </c>
      <c r="G10" s="218">
        <v>313.83999999999997</v>
      </c>
      <c r="H10" s="218">
        <v>220.02</v>
      </c>
      <c r="I10" s="218">
        <f t="shared" si="2"/>
        <v>93.819999999999965</v>
      </c>
      <c r="J10" s="218">
        <f t="shared" si="0"/>
        <v>6261.0359999999991</v>
      </c>
      <c r="K10" s="218">
        <v>1509.55</v>
      </c>
      <c r="L10" s="240">
        <v>241.52799999999999</v>
      </c>
      <c r="M10" s="218">
        <v>96.13</v>
      </c>
    </row>
    <row r="11" spans="2:13" x14ac:dyDescent="0.3">
      <c r="B11">
        <v>8</v>
      </c>
      <c r="C11" t="s">
        <v>216</v>
      </c>
      <c r="D11" s="218">
        <v>369.3</v>
      </c>
      <c r="E11" s="218">
        <v>15.49</v>
      </c>
      <c r="F11" s="218">
        <f t="shared" si="1"/>
        <v>5720.4570000000003</v>
      </c>
      <c r="G11" s="218">
        <v>813.72</v>
      </c>
      <c r="H11" s="218">
        <v>175.13</v>
      </c>
      <c r="I11" s="218">
        <f t="shared" si="2"/>
        <v>638.59</v>
      </c>
      <c r="J11" s="218">
        <f t="shared" si="0"/>
        <v>6359.0470000000005</v>
      </c>
      <c r="K11" s="218">
        <v>5441.55</v>
      </c>
      <c r="L11" s="240">
        <v>380.90850000000006</v>
      </c>
      <c r="M11" s="218">
        <v>229.29</v>
      </c>
    </row>
    <row r="12" spans="2:13" x14ac:dyDescent="0.3">
      <c r="B12">
        <v>9</v>
      </c>
      <c r="C12" t="s">
        <v>217</v>
      </c>
      <c r="D12" s="218">
        <v>315.95</v>
      </c>
      <c r="E12" s="218">
        <v>16.38</v>
      </c>
      <c r="F12" s="218">
        <f t="shared" si="1"/>
        <v>5175.2609999999995</v>
      </c>
      <c r="G12" s="218">
        <v>2407.77</v>
      </c>
      <c r="H12" s="218">
        <v>583.97</v>
      </c>
      <c r="I12" s="218">
        <f t="shared" si="2"/>
        <v>1823.8</v>
      </c>
      <c r="J12" s="218">
        <f t="shared" si="0"/>
        <v>6999.0609999999988</v>
      </c>
      <c r="K12" s="218">
        <v>7773.13</v>
      </c>
      <c r="L12" s="240">
        <v>932.77559999999994</v>
      </c>
      <c r="M12" s="218">
        <v>485.09</v>
      </c>
    </row>
    <row r="13" spans="2:13" x14ac:dyDescent="0.3">
      <c r="B13">
        <v>10</v>
      </c>
      <c r="C13" t="s">
        <v>218</v>
      </c>
      <c r="D13" s="218">
        <v>304.10000000000002</v>
      </c>
      <c r="E13" s="218">
        <v>11.29</v>
      </c>
      <c r="F13" s="218">
        <f t="shared" si="1"/>
        <v>3433.2890000000002</v>
      </c>
      <c r="G13" s="218">
        <v>24.19</v>
      </c>
      <c r="H13" s="218">
        <v>182.03</v>
      </c>
      <c r="I13" s="218">
        <f t="shared" si="2"/>
        <v>-157.84</v>
      </c>
      <c r="J13" s="218">
        <f t="shared" si="0"/>
        <v>3275.4490000000001</v>
      </c>
      <c r="K13" s="218">
        <v>940.82</v>
      </c>
      <c r="L13" s="240">
        <v>225.79679999999999</v>
      </c>
      <c r="M13" s="218">
        <v>156.54</v>
      </c>
    </row>
    <row r="14" spans="2:13" x14ac:dyDescent="0.3">
      <c r="D14" s="218"/>
      <c r="E14" s="218"/>
      <c r="F14" s="218"/>
      <c r="G14" s="218"/>
      <c r="H14" s="218"/>
      <c r="I14" s="218"/>
      <c r="J14" s="218"/>
      <c r="K14" s="218"/>
      <c r="L14" s="240"/>
      <c r="M14" s="218"/>
    </row>
    <row r="15" spans="2:13" x14ac:dyDescent="0.3">
      <c r="D15" s="218"/>
      <c r="E15" s="218"/>
      <c r="F15" s="218"/>
      <c r="G15" s="218"/>
      <c r="H15" s="218"/>
      <c r="I15" s="218"/>
      <c r="J15" s="218"/>
      <c r="K15" s="218"/>
      <c r="L15" s="240"/>
      <c r="M15" s="218"/>
    </row>
    <row r="16" spans="2:13" x14ac:dyDescent="0.3">
      <c r="D16" s="218"/>
      <c r="E16" s="218"/>
      <c r="F16" s="218"/>
      <c r="G16" s="218"/>
      <c r="H16" s="218"/>
      <c r="I16" s="218"/>
      <c r="J16" s="218"/>
      <c r="K16" s="218"/>
      <c r="L16" s="240"/>
      <c r="M16" s="218"/>
    </row>
    <row r="17" spans="2:13" x14ac:dyDescent="0.3">
      <c r="D17" s="218"/>
      <c r="E17" s="218"/>
      <c r="F17" s="218"/>
      <c r="G17" s="218"/>
      <c r="H17" s="218"/>
      <c r="I17" s="218"/>
      <c r="J17" s="218"/>
      <c r="K17" s="218"/>
      <c r="L17" s="240"/>
      <c r="M17" s="218"/>
    </row>
    <row r="18" spans="2:13" x14ac:dyDescent="0.3">
      <c r="D18" s="218"/>
      <c r="E18" s="218"/>
      <c r="F18" s="218"/>
      <c r="G18" s="218"/>
      <c r="H18" s="218"/>
      <c r="I18" s="218"/>
      <c r="J18" s="218"/>
      <c r="K18" s="218"/>
      <c r="L18" s="240"/>
      <c r="M18" s="218"/>
    </row>
    <row r="19" spans="2:13" x14ac:dyDescent="0.3">
      <c r="D19" s="218"/>
      <c r="E19" s="218"/>
      <c r="F19" s="218"/>
      <c r="G19" s="218"/>
      <c r="H19" s="218"/>
      <c r="I19" s="218"/>
      <c r="J19" s="218"/>
      <c r="K19" s="218"/>
      <c r="L19" s="240"/>
      <c r="M19" s="218"/>
    </row>
    <row r="20" spans="2:13" x14ac:dyDescent="0.3">
      <c r="D20" s="218"/>
      <c r="E20" s="218"/>
      <c r="F20" s="218"/>
      <c r="G20" s="218"/>
      <c r="H20" s="218"/>
      <c r="I20" s="218"/>
      <c r="J20" s="218"/>
      <c r="K20" s="218"/>
      <c r="L20" s="240"/>
      <c r="M20" s="218"/>
    </row>
    <row r="21" spans="2:13" x14ac:dyDescent="0.3">
      <c r="B21">
        <v>11</v>
      </c>
      <c r="C21" t="s">
        <v>219</v>
      </c>
      <c r="D21" s="218">
        <v>192.71</v>
      </c>
      <c r="E21" s="218">
        <v>16.71</v>
      </c>
      <c r="F21" s="218">
        <f t="shared" si="1"/>
        <v>3220.1841000000004</v>
      </c>
      <c r="G21" s="218">
        <v>227.47</v>
      </c>
      <c r="H21" s="218">
        <v>129.26</v>
      </c>
      <c r="I21" s="218"/>
      <c r="J21" s="218">
        <f t="shared" ref="J21:J40" si="3">F21+G21-H21</f>
        <v>3318.3941000000004</v>
      </c>
      <c r="K21" s="218">
        <v>3606.89</v>
      </c>
      <c r="L21" s="240">
        <v>360.68900000000002</v>
      </c>
      <c r="M21" s="218">
        <v>209.06</v>
      </c>
    </row>
    <row r="22" spans="2:13" x14ac:dyDescent="0.3">
      <c r="B22">
        <v>12</v>
      </c>
      <c r="C22" t="s">
        <v>220</v>
      </c>
      <c r="D22" s="218">
        <v>96.18</v>
      </c>
      <c r="E22" s="218">
        <v>29.53</v>
      </c>
      <c r="F22" s="218">
        <f t="shared" si="1"/>
        <v>2840.1954000000005</v>
      </c>
      <c r="G22" s="218">
        <v>879.02</v>
      </c>
      <c r="H22" s="218">
        <v>1891.23</v>
      </c>
      <c r="I22" s="218"/>
      <c r="J22" s="218">
        <f t="shared" si="3"/>
        <v>1827.9854000000005</v>
      </c>
      <c r="K22" s="218">
        <v>741041.52</v>
      </c>
      <c r="L22" s="240">
        <v>0</v>
      </c>
      <c r="M22" s="218">
        <v>167.95</v>
      </c>
    </row>
    <row r="23" spans="2:13" x14ac:dyDescent="0.3">
      <c r="B23">
        <v>13</v>
      </c>
      <c r="C23" t="s">
        <v>221</v>
      </c>
      <c r="D23" s="218">
        <v>2222.9</v>
      </c>
      <c r="E23" s="218">
        <v>1.23</v>
      </c>
      <c r="F23" s="218">
        <f t="shared" si="1"/>
        <v>2734.1669999999999</v>
      </c>
      <c r="G23" s="218">
        <v>466.82</v>
      </c>
      <c r="H23" s="218">
        <v>516.9</v>
      </c>
      <c r="I23" s="218"/>
      <c r="J23" s="218">
        <f t="shared" si="3"/>
        <v>2684.087</v>
      </c>
      <c r="K23" s="218">
        <v>1998.02</v>
      </c>
      <c r="L23" s="240">
        <v>339.66340000000002</v>
      </c>
      <c r="M23" s="218">
        <v>132.21</v>
      </c>
    </row>
    <row r="24" spans="2:13" x14ac:dyDescent="0.3">
      <c r="B24">
        <v>14</v>
      </c>
      <c r="C24" t="s">
        <v>222</v>
      </c>
      <c r="D24" s="218">
        <v>261.8</v>
      </c>
      <c r="E24" s="218">
        <v>10.1</v>
      </c>
      <c r="F24" s="218">
        <f t="shared" si="1"/>
        <v>2644.18</v>
      </c>
      <c r="G24" s="218">
        <v>12.58</v>
      </c>
      <c r="H24" s="218">
        <v>0.02</v>
      </c>
      <c r="I24" s="218"/>
      <c r="J24" s="218">
        <f t="shared" si="3"/>
        <v>2656.74</v>
      </c>
      <c r="K24" s="218">
        <v>698.8</v>
      </c>
      <c r="L24" s="240">
        <v>90.843999999999994</v>
      </c>
      <c r="M24" s="218">
        <v>57.34</v>
      </c>
    </row>
    <row r="25" spans="2:13" x14ac:dyDescent="0.3">
      <c r="B25">
        <v>15</v>
      </c>
      <c r="C25" t="s">
        <v>223</v>
      </c>
      <c r="D25" s="218">
        <v>1015.3</v>
      </c>
      <c r="E25" s="218">
        <v>2.2799999999999998</v>
      </c>
      <c r="F25" s="218">
        <f t="shared" si="1"/>
        <v>2314.8839999999996</v>
      </c>
      <c r="G25" s="218">
        <v>211.65</v>
      </c>
      <c r="H25" s="218">
        <v>22.9</v>
      </c>
      <c r="I25" s="218"/>
      <c r="J25" s="218">
        <f t="shared" si="3"/>
        <v>2503.6339999999996</v>
      </c>
      <c r="K25" s="218">
        <v>3447.64</v>
      </c>
      <c r="L25" s="240">
        <v>275.81119999999999</v>
      </c>
      <c r="M25" s="218">
        <v>186.38</v>
      </c>
    </row>
    <row r="26" spans="2:13" x14ac:dyDescent="0.3">
      <c r="B26">
        <v>16</v>
      </c>
      <c r="C26" t="s">
        <v>224</v>
      </c>
      <c r="D26" s="218">
        <v>181.04</v>
      </c>
      <c r="E26" s="218">
        <v>9.64</v>
      </c>
      <c r="F26" s="218">
        <f t="shared" si="1"/>
        <v>1745.2256</v>
      </c>
      <c r="G26" s="218">
        <v>185.23</v>
      </c>
      <c r="H26" s="218">
        <v>3.1</v>
      </c>
      <c r="I26" s="218"/>
      <c r="J26" s="218">
        <f t="shared" si="3"/>
        <v>1927.3556000000001</v>
      </c>
      <c r="K26" s="218">
        <v>1871.63</v>
      </c>
      <c r="L26" s="240">
        <v>131.01410000000001</v>
      </c>
      <c r="M26" s="218">
        <v>96.71</v>
      </c>
    </row>
    <row r="27" spans="2:13" x14ac:dyDescent="0.3">
      <c r="B27">
        <v>17</v>
      </c>
      <c r="C27" t="s">
        <v>225</v>
      </c>
      <c r="D27" s="218">
        <v>645.95000000000005</v>
      </c>
      <c r="E27" s="218">
        <v>2.4700000000000002</v>
      </c>
      <c r="F27" s="218">
        <f t="shared" si="1"/>
        <v>1595.4965000000002</v>
      </c>
      <c r="G27" s="218">
        <v>59.56</v>
      </c>
      <c r="H27" s="218">
        <v>2.7</v>
      </c>
      <c r="I27" s="218"/>
      <c r="J27" s="218">
        <f t="shared" si="3"/>
        <v>1652.3565000000001</v>
      </c>
      <c r="K27" s="218">
        <v>2163.34</v>
      </c>
      <c r="L27" s="240">
        <v>108.16700000000002</v>
      </c>
      <c r="M27" s="218">
        <v>76.37</v>
      </c>
    </row>
    <row r="28" spans="2:13" x14ac:dyDescent="0.3">
      <c r="B28">
        <v>18</v>
      </c>
      <c r="C28" t="s">
        <v>226</v>
      </c>
      <c r="D28" s="218">
        <v>12.5</v>
      </c>
      <c r="E28" s="218">
        <v>100.18</v>
      </c>
      <c r="F28" s="218">
        <f t="shared" si="1"/>
        <v>1252.25</v>
      </c>
      <c r="G28" s="218">
        <v>54.89</v>
      </c>
      <c r="H28" s="218">
        <v>7.13</v>
      </c>
      <c r="I28" s="218"/>
      <c r="J28" s="218">
        <f t="shared" si="3"/>
        <v>1300.01</v>
      </c>
      <c r="K28" s="218">
        <v>470.83</v>
      </c>
      <c r="L28" s="240">
        <v>94.165999999999997</v>
      </c>
      <c r="M28" s="218">
        <v>66.540000000000006</v>
      </c>
    </row>
    <row r="29" spans="2:13" x14ac:dyDescent="0.3">
      <c r="B29">
        <v>19</v>
      </c>
      <c r="C29" t="s">
        <v>227</v>
      </c>
      <c r="D29" s="218">
        <v>173.06</v>
      </c>
      <c r="E29" s="218">
        <v>7.21</v>
      </c>
      <c r="F29" s="218">
        <f t="shared" si="1"/>
        <v>1247.7626</v>
      </c>
      <c r="G29" s="218">
        <v>184.4</v>
      </c>
      <c r="H29" s="218">
        <v>14.19</v>
      </c>
      <c r="I29" s="218"/>
      <c r="J29" s="218">
        <f t="shared" si="3"/>
        <v>1417.9726000000001</v>
      </c>
      <c r="K29" s="218">
        <v>1657.08</v>
      </c>
      <c r="L29" s="240">
        <v>198.84959999999998</v>
      </c>
      <c r="M29" s="218">
        <v>127.73</v>
      </c>
    </row>
    <row r="30" spans="2:13" x14ac:dyDescent="0.3">
      <c r="B30">
        <v>20</v>
      </c>
      <c r="C30" t="s">
        <v>228</v>
      </c>
      <c r="D30" s="218">
        <v>237.09</v>
      </c>
      <c r="E30" s="218">
        <v>5.01</v>
      </c>
      <c r="F30" s="218">
        <f t="shared" si="1"/>
        <v>1187.8208999999999</v>
      </c>
      <c r="G30" s="218">
        <v>96.72</v>
      </c>
      <c r="H30" s="218">
        <v>0.25</v>
      </c>
      <c r="I30" s="218"/>
      <c r="J30" s="218">
        <f t="shared" si="3"/>
        <v>1284.2909</v>
      </c>
      <c r="K30" s="218">
        <v>105.39</v>
      </c>
      <c r="L30" s="240">
        <v>24.239700000000003</v>
      </c>
      <c r="M30" s="218">
        <v>9.74</v>
      </c>
    </row>
    <row r="31" spans="2:13" x14ac:dyDescent="0.3">
      <c r="B31">
        <v>21</v>
      </c>
      <c r="C31" t="s">
        <v>229</v>
      </c>
      <c r="D31" s="218">
        <v>374.1</v>
      </c>
      <c r="E31" s="218">
        <v>3.17</v>
      </c>
      <c r="F31" s="218">
        <f t="shared" si="1"/>
        <v>1185.8969999999999</v>
      </c>
      <c r="G31" s="218">
        <v>90.92</v>
      </c>
      <c r="H31" s="218">
        <v>39.020000000000003</v>
      </c>
      <c r="I31" s="218"/>
      <c r="J31" s="218">
        <f t="shared" si="3"/>
        <v>1237.797</v>
      </c>
      <c r="K31" s="218">
        <v>258.18</v>
      </c>
      <c r="L31" s="240">
        <v>80.035799999999995</v>
      </c>
      <c r="M31" s="218">
        <v>59.47</v>
      </c>
    </row>
    <row r="32" spans="2:13" x14ac:dyDescent="0.3">
      <c r="B32">
        <v>22</v>
      </c>
      <c r="C32" t="s">
        <v>230</v>
      </c>
      <c r="D32" s="218">
        <v>103.1</v>
      </c>
      <c r="E32" s="218">
        <v>10.73</v>
      </c>
      <c r="F32" s="218">
        <f t="shared" si="1"/>
        <v>1106.2629999999999</v>
      </c>
      <c r="G32" s="218">
        <v>713.39</v>
      </c>
      <c r="H32" s="218">
        <v>145.82</v>
      </c>
      <c r="I32" s="218"/>
      <c r="J32" s="218">
        <f t="shared" si="3"/>
        <v>1673.8329999999999</v>
      </c>
      <c r="K32" s="218">
        <v>2554.02</v>
      </c>
      <c r="L32" s="240">
        <v>178.78140000000002</v>
      </c>
      <c r="M32" s="218">
        <v>82.77</v>
      </c>
    </row>
    <row r="33" spans="2:13" x14ac:dyDescent="0.3">
      <c r="B33">
        <v>23</v>
      </c>
      <c r="C33" t="s">
        <v>231</v>
      </c>
      <c r="D33" s="218">
        <v>600</v>
      </c>
      <c r="E33" s="218">
        <v>1.6</v>
      </c>
      <c r="F33" s="218">
        <f t="shared" si="1"/>
        <v>960</v>
      </c>
      <c r="G33" s="218">
        <v>513.84</v>
      </c>
      <c r="H33" s="218">
        <v>315.3</v>
      </c>
      <c r="I33" s="218"/>
      <c r="J33" s="218">
        <f t="shared" si="3"/>
        <v>1158.5400000000002</v>
      </c>
      <c r="K33" s="218">
        <v>2990.34</v>
      </c>
      <c r="L33" s="240">
        <v>89.7102</v>
      </c>
      <c r="M33" s="218">
        <v>34.75</v>
      </c>
    </row>
    <row r="34" spans="2:13" x14ac:dyDescent="0.3">
      <c r="B34">
        <v>24</v>
      </c>
      <c r="C34" t="s">
        <v>232</v>
      </c>
      <c r="D34" s="218">
        <v>860.2</v>
      </c>
      <c r="E34" s="218">
        <v>1.05</v>
      </c>
      <c r="F34" s="218">
        <f t="shared" si="1"/>
        <v>903.21</v>
      </c>
      <c r="G34" s="218">
        <v>7.91</v>
      </c>
      <c r="H34" s="218">
        <v>54.13</v>
      </c>
      <c r="I34" s="218"/>
      <c r="J34" s="218">
        <f t="shared" si="3"/>
        <v>856.99</v>
      </c>
      <c r="K34" s="218">
        <v>142.51</v>
      </c>
      <c r="L34" s="240">
        <v>42.752999999999993</v>
      </c>
      <c r="M34" s="218">
        <v>30.29</v>
      </c>
    </row>
    <row r="35" spans="2:13" x14ac:dyDescent="0.3">
      <c r="B35">
        <v>25</v>
      </c>
      <c r="C35" t="s">
        <v>233</v>
      </c>
      <c r="D35" s="218">
        <v>132.56</v>
      </c>
      <c r="E35" s="218">
        <v>6.67</v>
      </c>
      <c r="F35" s="218">
        <f t="shared" si="1"/>
        <v>884.17520000000002</v>
      </c>
      <c r="G35" s="218">
        <v>822.05</v>
      </c>
      <c r="H35" s="218">
        <v>98.21</v>
      </c>
      <c r="I35" s="218"/>
      <c r="J35" s="218">
        <f t="shared" si="3"/>
        <v>1608.0151999999998</v>
      </c>
      <c r="K35" s="218">
        <v>2902.61</v>
      </c>
      <c r="L35" s="240">
        <v>290.26100000000002</v>
      </c>
      <c r="M35" s="218">
        <v>144.15</v>
      </c>
    </row>
    <row r="36" spans="2:13" x14ac:dyDescent="0.3">
      <c r="B36">
        <v>26</v>
      </c>
      <c r="C36" t="s">
        <v>234</v>
      </c>
      <c r="D36" s="218">
        <v>153.58000000000001</v>
      </c>
      <c r="E36" s="218">
        <v>4.88</v>
      </c>
      <c r="F36" s="218">
        <f t="shared" si="1"/>
        <v>749.47040000000004</v>
      </c>
      <c r="G36" s="218">
        <v>409.77</v>
      </c>
      <c r="H36" s="218">
        <v>29.76</v>
      </c>
      <c r="I36" s="218"/>
      <c r="J36" s="218">
        <f t="shared" si="3"/>
        <v>1129.4804000000001</v>
      </c>
      <c r="K36" s="218">
        <v>2694.66</v>
      </c>
      <c r="L36" s="240">
        <v>188.62620000000001</v>
      </c>
      <c r="M36" s="218">
        <v>113.56</v>
      </c>
    </row>
    <row r="37" spans="2:13" x14ac:dyDescent="0.3">
      <c r="B37">
        <v>27</v>
      </c>
      <c r="C37" t="s">
        <v>235</v>
      </c>
      <c r="D37" s="218">
        <v>58.88</v>
      </c>
      <c r="E37" s="218">
        <v>11.8</v>
      </c>
      <c r="F37" s="218">
        <f t="shared" si="1"/>
        <v>694.78400000000011</v>
      </c>
      <c r="G37" s="218">
        <v>42.84</v>
      </c>
      <c r="H37" s="218">
        <v>5.49</v>
      </c>
      <c r="I37" s="218"/>
      <c r="J37" s="218">
        <f t="shared" si="3"/>
        <v>732.13400000000013</v>
      </c>
      <c r="K37" s="218">
        <v>602.29999999999995</v>
      </c>
      <c r="L37" s="240">
        <v>114.437</v>
      </c>
      <c r="M37" s="218">
        <v>78.39</v>
      </c>
    </row>
    <row r="38" spans="2:13" x14ac:dyDescent="0.3">
      <c r="B38">
        <v>28</v>
      </c>
      <c r="C38" t="s">
        <v>236</v>
      </c>
      <c r="D38" s="218">
        <v>553</v>
      </c>
      <c r="E38" s="218">
        <v>1.17</v>
      </c>
      <c r="F38" s="218">
        <f t="shared" si="1"/>
        <v>647.01</v>
      </c>
      <c r="G38" s="218">
        <v>42.58</v>
      </c>
      <c r="H38" s="218">
        <v>0.84</v>
      </c>
      <c r="I38" s="218"/>
      <c r="J38" s="218">
        <f t="shared" si="3"/>
        <v>688.75</v>
      </c>
      <c r="K38" s="218">
        <v>128.75</v>
      </c>
      <c r="L38" s="240">
        <v>18.025000000000002</v>
      </c>
      <c r="M38" s="218">
        <v>13.35</v>
      </c>
    </row>
    <row r="39" spans="2:13" x14ac:dyDescent="0.3">
      <c r="B39">
        <v>29</v>
      </c>
      <c r="C39" t="s">
        <v>237</v>
      </c>
      <c r="D39" s="218">
        <v>134.41999999999999</v>
      </c>
      <c r="E39" s="218">
        <v>4</v>
      </c>
      <c r="F39" s="218">
        <f t="shared" si="1"/>
        <v>537.67999999999995</v>
      </c>
      <c r="G39" s="218">
        <v>150.22</v>
      </c>
      <c r="H39" s="218">
        <v>2.69</v>
      </c>
      <c r="I39" s="218"/>
      <c r="J39" s="218">
        <f t="shared" si="3"/>
        <v>685.20999999999992</v>
      </c>
      <c r="K39" s="218">
        <v>584.28</v>
      </c>
      <c r="L39" s="240">
        <v>87.641999999999996</v>
      </c>
      <c r="M39" s="218">
        <v>51.68</v>
      </c>
    </row>
    <row r="40" spans="2:13" x14ac:dyDescent="0.3">
      <c r="B40">
        <v>30</v>
      </c>
      <c r="C40" t="s">
        <v>238</v>
      </c>
      <c r="D40" s="218">
        <v>89.7</v>
      </c>
      <c r="E40" s="218">
        <v>5.8</v>
      </c>
      <c r="F40" s="218">
        <f t="shared" si="1"/>
        <v>520.26</v>
      </c>
      <c r="G40" s="218">
        <v>0</v>
      </c>
      <c r="H40" s="218">
        <v>0.09</v>
      </c>
      <c r="I40" s="218"/>
      <c r="J40" s="218">
        <f t="shared" si="3"/>
        <v>520.16999999999996</v>
      </c>
      <c r="K40" s="218">
        <v>0</v>
      </c>
      <c r="L40" s="218">
        <v>0</v>
      </c>
      <c r="M40" s="218">
        <v>1.39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34BE-B6F8-41AB-B3EF-9261BE044773}">
  <dimension ref="A1:L40"/>
  <sheetViews>
    <sheetView showGridLines="0" zoomScale="76" zoomScaleNormal="76" workbookViewId="0">
      <selection activeCell="Q24" sqref="Q24"/>
    </sheetView>
  </sheetViews>
  <sheetFormatPr defaultRowHeight="14.4" x14ac:dyDescent="0.3"/>
  <cols>
    <col min="1" max="1" width="1.88671875" customWidth="1"/>
    <col min="2" max="2" width="19.44140625" customWidth="1"/>
    <col min="3" max="7" width="11.33203125" bestFit="1" customWidth="1"/>
    <col min="8" max="12" width="12.33203125" bestFit="1" customWidth="1"/>
  </cols>
  <sheetData>
    <row r="1" spans="1:12" x14ac:dyDescent="0.3">
      <c r="A1" s="68"/>
    </row>
    <row r="2" spans="1:12" x14ac:dyDescent="0.3">
      <c r="B2" s="269" t="str">
        <f>"Common Size Income Statement"&amp;" - "&amp;'Data Sheet'!$B$1</f>
        <v>Common Size Income Statement - TITAN COMPANY LTD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</row>
    <row r="4" spans="1:12" x14ac:dyDescent="0.3">
      <c r="B4" s="117" t="s">
        <v>239</v>
      </c>
      <c r="C4" s="118">
        <f>'Data Sheet'!B$16</f>
        <v>42460</v>
      </c>
      <c r="D4" s="118">
        <f>'Data Sheet'!C$16</f>
        <v>42825</v>
      </c>
      <c r="E4" s="118">
        <f>'Data Sheet'!D$16</f>
        <v>43190</v>
      </c>
      <c r="F4" s="118">
        <f>'Data Sheet'!E$16</f>
        <v>43555</v>
      </c>
      <c r="G4" s="118">
        <f>'Data Sheet'!F$16</f>
        <v>43921</v>
      </c>
      <c r="H4" s="118">
        <f>'Data Sheet'!G$16</f>
        <v>44286</v>
      </c>
      <c r="I4" s="118">
        <f>'Data Sheet'!H$16</f>
        <v>44651</v>
      </c>
      <c r="J4" s="118">
        <f>'Data Sheet'!I$16</f>
        <v>45016</v>
      </c>
      <c r="K4" s="118">
        <f>'Data Sheet'!J$16</f>
        <v>45382</v>
      </c>
      <c r="L4" s="118">
        <f>'Data Sheet'!K$16</f>
        <v>45747</v>
      </c>
    </row>
    <row r="6" spans="1:12" x14ac:dyDescent="0.3">
      <c r="B6" s="71" t="str">
        <f>'Data Sheet'!A17</f>
        <v>Sales</v>
      </c>
      <c r="C6" s="72">
        <f>'Data Sheet'!B17/'Data Sheet'!B$17</f>
        <v>1</v>
      </c>
      <c r="D6" s="72">
        <f>'Data Sheet'!C17/'Data Sheet'!C$17</f>
        <v>1</v>
      </c>
      <c r="E6" s="72">
        <f>'Data Sheet'!D17/'Data Sheet'!D$17</f>
        <v>1</v>
      </c>
      <c r="F6" s="72">
        <f>'Data Sheet'!E17/'Data Sheet'!E$17</f>
        <v>1</v>
      </c>
      <c r="G6" s="72">
        <f>'Data Sheet'!F17/'Data Sheet'!F$17</f>
        <v>1</v>
      </c>
      <c r="H6" s="72">
        <f>'Data Sheet'!G17/'Data Sheet'!G$17</f>
        <v>1</v>
      </c>
      <c r="I6" s="72">
        <f>'Data Sheet'!H17/'Data Sheet'!H$17</f>
        <v>1</v>
      </c>
      <c r="J6" s="72">
        <f>'Data Sheet'!I17/'Data Sheet'!I$17</f>
        <v>1</v>
      </c>
      <c r="K6" s="72">
        <f>'Data Sheet'!J17/'Data Sheet'!J$17</f>
        <v>1</v>
      </c>
      <c r="L6" s="72">
        <f>'Data Sheet'!K17/'Data Sheet'!K$17</f>
        <v>1</v>
      </c>
    </row>
    <row r="7" spans="1:12" x14ac:dyDescent="0.3">
      <c r="B7" s="69" t="str">
        <f>'Data Sheet'!A18</f>
        <v>Raw Material Cost</v>
      </c>
      <c r="C7" s="42">
        <f>'Data Sheet'!B18/'Data Sheet'!B$17</f>
        <v>0.74248418528382243</v>
      </c>
      <c r="D7" s="42">
        <f>'Data Sheet'!C18/'Data Sheet'!C$17</f>
        <v>0.74061276707415746</v>
      </c>
      <c r="E7" s="42">
        <f>'Data Sheet'!D18/'Data Sheet'!D$17</f>
        <v>0.78567063922127922</v>
      </c>
      <c r="F7" s="42">
        <f>'Data Sheet'!E18/'Data Sheet'!E$17</f>
        <v>0.767027057636264</v>
      </c>
      <c r="G7" s="42">
        <f>'Data Sheet'!F18/'Data Sheet'!F$17</f>
        <v>0.76159034771043133</v>
      </c>
      <c r="H7" s="42">
        <f>'Data Sheet'!G18/'Data Sheet'!G$17</f>
        <v>0.75272592866383292</v>
      </c>
      <c r="I7" s="42">
        <f>'Data Sheet'!H18/'Data Sheet'!H$17</f>
        <v>0.91794853987985692</v>
      </c>
      <c r="J7" s="42">
        <f>'Data Sheet'!I18/'Data Sheet'!I$17</f>
        <v>0.80317929759704254</v>
      </c>
      <c r="K7" s="42">
        <f>'Data Sheet'!J18/'Data Sheet'!J$17</f>
        <v>0.82419152767989978</v>
      </c>
      <c r="L7" s="42">
        <f>'Data Sheet'!K18/'Data Sheet'!K$17</f>
        <v>0.91423514622204582</v>
      </c>
    </row>
    <row r="8" spans="1:12" x14ac:dyDescent="0.3">
      <c r="B8" s="69" t="str">
        <f>'Data Sheet'!A19</f>
        <v>Change in Inventory</v>
      </c>
      <c r="C8" s="42">
        <f>'Data Sheet'!B19/'Data Sheet'!B$17</f>
        <v>1.6976930424117298E-2</v>
      </c>
      <c r="D8" s="42">
        <f>'Data Sheet'!C19/'Data Sheet'!C$17</f>
        <v>2.3656890254984037E-2</v>
      </c>
      <c r="E8" s="42">
        <f>'Data Sheet'!D19/'Data Sheet'!D$17</f>
        <v>6.0708682568051529E-2</v>
      </c>
      <c r="F8" s="42">
        <f>'Data Sheet'!E19/'Data Sheet'!E$17</f>
        <v>3.9255212220125672E-2</v>
      </c>
      <c r="G8" s="42">
        <f>'Data Sheet'!F19/'Data Sheet'!F$17</f>
        <v>4.1706251187535626E-2</v>
      </c>
      <c r="H8" s="42">
        <f>'Data Sheet'!G19/'Data Sheet'!G$17</f>
        <v>-5.6366660506375899E-3</v>
      </c>
      <c r="I8" s="42">
        <f>'Data Sheet'!H19/'Data Sheet'!H$17</f>
        <v>0.16649883676516547</v>
      </c>
      <c r="J8" s="42">
        <f>'Data Sheet'!I19/'Data Sheet'!I$17</f>
        <v>5.5058533579790514E-2</v>
      </c>
      <c r="K8" s="42">
        <f>'Data Sheet'!J19/'Data Sheet'!J$17</f>
        <v>5.2286430193406938E-2</v>
      </c>
      <c r="L8" s="42">
        <f>'Data Sheet'!K19/'Data Sheet'!K$17</f>
        <v>0.12926756649464072</v>
      </c>
    </row>
    <row r="9" spans="1:12" x14ac:dyDescent="0.3">
      <c r="B9" s="69" t="str">
        <f>'Data Sheet'!A20</f>
        <v>Power and Fuel</v>
      </c>
      <c r="C9" s="42">
        <f>'Data Sheet'!B20/'Data Sheet'!B$17</f>
        <v>3.6538135792385349E-3</v>
      </c>
      <c r="D9" s="42">
        <f>'Data Sheet'!C20/'Data Sheet'!C$17</f>
        <v>3.3059770768496394E-3</v>
      </c>
      <c r="E9" s="42">
        <f>'Data Sheet'!D20/'Data Sheet'!D$17</f>
        <v>2.8114545058645379E-3</v>
      </c>
      <c r="F9" s="42">
        <f>'Data Sheet'!E20/'Data Sheet'!E$17</f>
        <v>2.4526607653150992E-3</v>
      </c>
      <c r="G9" s="42">
        <f>'Data Sheet'!F20/'Data Sheet'!F$17</f>
        <v>2.4700741022230669E-3</v>
      </c>
      <c r="H9" s="42">
        <f>'Data Sheet'!G20/'Data Sheet'!G$17</f>
        <v>1.7094806874884494E-3</v>
      </c>
      <c r="I9" s="42">
        <f>'Data Sheet'!H20/'Data Sheet'!H$17</f>
        <v>1.5625542553560888E-3</v>
      </c>
      <c r="J9" s="42">
        <f>'Data Sheet'!I20/'Data Sheet'!I$17</f>
        <v>1.4540973505853358E-3</v>
      </c>
      <c r="K9" s="42">
        <f>'Data Sheet'!J20/'Data Sheet'!J$17</f>
        <v>1.3898676689374364E-3</v>
      </c>
      <c r="L9" s="42">
        <f>'Data Sheet'!K20/'Data Sheet'!K$17</f>
        <v>1.2901945216355697E-3</v>
      </c>
    </row>
    <row r="10" spans="1:12" x14ac:dyDescent="0.3">
      <c r="B10" s="69" t="str">
        <f>'Data Sheet'!A21</f>
        <v>Other Mfr. Exp</v>
      </c>
      <c r="C10" s="42">
        <f>'Data Sheet'!B21/'Data Sheet'!B$17</f>
        <v>2.3208811011813702E-2</v>
      </c>
      <c r="D10" s="42">
        <f>'Data Sheet'!C21/'Data Sheet'!C$17</f>
        <v>1.2097281995169231E-2</v>
      </c>
      <c r="E10" s="42">
        <f>'Data Sheet'!D21/'Data Sheet'!D$17</f>
        <v>7.7439070160430327E-3</v>
      </c>
      <c r="F10" s="42">
        <f>'Data Sheet'!E21/'Data Sheet'!E$17</f>
        <v>9.772217537004791E-3</v>
      </c>
      <c r="G10" s="42">
        <f>'Data Sheet'!F21/'Data Sheet'!F$17</f>
        <v>1.0212806384191525E-2</v>
      </c>
      <c r="H10" s="42">
        <f>'Data Sheet'!G21/'Data Sheet'!G$17</f>
        <v>6.5145074847532802E-3</v>
      </c>
      <c r="I10" s="42">
        <f>'Data Sheet'!H21/'Data Sheet'!H$17</f>
        <v>6.3543873051147611E-3</v>
      </c>
      <c r="J10" s="42">
        <f>'Data Sheet'!I21/'Data Sheet'!I$17</f>
        <v>5.5452865064695009E-3</v>
      </c>
      <c r="K10" s="42">
        <f>'Data Sheet'!J21/'Data Sheet'!J$17</f>
        <v>5.5986218776916449E-3</v>
      </c>
      <c r="L10" s="42">
        <f>'Data Sheet'!K21/'Data Sheet'!K$17</f>
        <v>5.3923514622204582E-3</v>
      </c>
    </row>
    <row r="11" spans="1:12" x14ac:dyDescent="0.3">
      <c r="B11" s="69" t="str">
        <f>'Data Sheet'!A22</f>
        <v>Employee Cost</v>
      </c>
      <c r="C11" s="42">
        <f>'Data Sheet'!B22/'Data Sheet'!B$17</f>
        <v>6.2051864642170163E-2</v>
      </c>
      <c r="D11" s="42">
        <f>'Data Sheet'!C22/'Data Sheet'!C$17</f>
        <v>6.7440725806755683E-2</v>
      </c>
      <c r="E11" s="42">
        <f>'Data Sheet'!D22/'Data Sheet'!D$17</f>
        <v>5.6220405129849868E-2</v>
      </c>
      <c r="F11" s="42">
        <f>'Data Sheet'!E22/'Data Sheet'!E$17</f>
        <v>5.1795584300544227E-2</v>
      </c>
      <c r="G11" s="42">
        <f>'Data Sheet'!F22/'Data Sheet'!F$17</f>
        <v>5.7191715751472541E-2</v>
      </c>
      <c r="H11" s="42">
        <f>'Data Sheet'!G22/'Data Sheet'!G$17</f>
        <v>4.9390131214193313E-2</v>
      </c>
      <c r="I11" s="42">
        <f>'Data Sheet'!H22/'Data Sheet'!H$17</f>
        <v>4.7084968228063476E-2</v>
      </c>
      <c r="J11" s="42">
        <f>'Data Sheet'!I22/'Data Sheet'!I$17</f>
        <v>4.0813308687615527E-2</v>
      </c>
      <c r="K11" s="42">
        <f>'Data Sheet'!J22/'Data Sheet'!J$17</f>
        <v>3.6704251820530893E-2</v>
      </c>
      <c r="L11" s="42">
        <f>'Data Sheet'!K22/'Data Sheet'!K$17</f>
        <v>3.5794627497684264E-2</v>
      </c>
    </row>
    <row r="12" spans="1:12" x14ac:dyDescent="0.3">
      <c r="B12" s="69" t="str">
        <f>'Data Sheet'!A23</f>
        <v>Selling and admin</v>
      </c>
      <c r="C12" s="42">
        <f>'Data Sheet'!B23/'Data Sheet'!B$17</f>
        <v>7.5065471550360988E-2</v>
      </c>
      <c r="D12" s="42">
        <f>'Data Sheet'!C23/'Data Sheet'!C$17</f>
        <v>9.1333649552856055E-2</v>
      </c>
      <c r="E12" s="42">
        <f>'Data Sheet'!D23/'Data Sheet'!D$17</f>
        <v>7.9269741441720318E-2</v>
      </c>
      <c r="F12" s="42">
        <f>'Data Sheet'!E23/'Data Sheet'!E$17</f>
        <v>7.3530274257123385E-2</v>
      </c>
      <c r="G12" s="42">
        <f>'Data Sheet'!F23/'Data Sheet'!F$17</f>
        <v>6.9827094812844381E-2</v>
      </c>
      <c r="H12" s="42">
        <f>'Data Sheet'!G23/'Data Sheet'!G$17</f>
        <v>4.7542043984476069E-2</v>
      </c>
      <c r="I12" s="42">
        <f>'Data Sheet'!H23/'Data Sheet'!H$17</f>
        <v>5.8925657140872945E-2</v>
      </c>
      <c r="J12" s="42">
        <f>'Data Sheet'!I23/'Data Sheet'!I$17</f>
        <v>6.6913123844731984E-2</v>
      </c>
      <c r="K12" s="42">
        <f>'Data Sheet'!J23/'Data Sheet'!J$17</f>
        <v>6.360112755461593E-2</v>
      </c>
      <c r="L12" s="42">
        <f>'Data Sheet'!K23/'Data Sheet'!K$17</f>
        <v>5.7694852454677779E-2</v>
      </c>
    </row>
    <row r="13" spans="1:12" x14ac:dyDescent="0.3">
      <c r="B13" s="69" t="str">
        <f>'Data Sheet'!A24</f>
        <v>Other Expenses</v>
      </c>
      <c r="C13" s="42">
        <f>'Data Sheet'!B24/'Data Sheet'!B$17</f>
        <v>2.7208495293941322E-2</v>
      </c>
      <c r="D13" s="42">
        <f>'Data Sheet'!C24/'Data Sheet'!C$17</f>
        <v>2.1096718682013117E-2</v>
      </c>
      <c r="E13" s="42">
        <f>'Data Sheet'!D24/'Data Sheet'!D$17</f>
        <v>2.6993561322525072E-2</v>
      </c>
      <c r="F13" s="42">
        <f>'Data Sheet'!E24/'Data Sheet'!E$17</f>
        <v>3.3871594032313837E-2</v>
      </c>
      <c r="G13" s="42">
        <f>'Data Sheet'!F24/'Data Sheet'!F$17</f>
        <v>2.3418202546076381E-2</v>
      </c>
      <c r="H13" s="42">
        <f>'Data Sheet'!G24/'Data Sheet'!G$17</f>
        <v>5.678248013306228E-2</v>
      </c>
      <c r="I13" s="42">
        <f>'Data Sheet'!H24/'Data Sheet'!H$17</f>
        <v>1.8507587068995451E-2</v>
      </c>
      <c r="J13" s="42">
        <f>'Data Sheet'!I24/'Data Sheet'!I$17</f>
        <v>1.6833025261860753E-2</v>
      </c>
      <c r="K13" s="42">
        <f>'Data Sheet'!J24/'Data Sheet'!J$17</f>
        <v>1.7206953253464882E-2</v>
      </c>
      <c r="L13" s="42">
        <f>'Data Sheet'!K24/'Data Sheet'!K$17</f>
        <v>2.0676194256980283E-2</v>
      </c>
    </row>
    <row r="14" spans="1:12" x14ac:dyDescent="0.3">
      <c r="B14" s="69" t="str">
        <f>'Data Sheet'!A25</f>
        <v>Other Income</v>
      </c>
      <c r="C14" s="42">
        <f>'Data Sheet'!B25/'Data Sheet'!B$17</f>
        <v>6.1485168798205729E-3</v>
      </c>
      <c r="D14" s="42">
        <f>'Data Sheet'!C25/'Data Sheet'!C$17</f>
        <v>-3.1958783877027307E-3</v>
      </c>
      <c r="E14" s="42">
        <f>'Data Sheet'!D25/'Data Sheet'!D$17</f>
        <v>4.3381512267234587E-3</v>
      </c>
      <c r="F14" s="42">
        <f>'Data Sheet'!E25/'Data Sheet'!E$17</f>
        <v>9.0239310120271889E-3</v>
      </c>
      <c r="G14" s="42">
        <f>'Data Sheet'!F25/'Data Sheet'!F$17</f>
        <v>7.2677180315409463E-3</v>
      </c>
      <c r="H14" s="42">
        <f>'Data Sheet'!G25/'Data Sheet'!G$17</f>
        <v>8.3163925337275922E-3</v>
      </c>
      <c r="I14" s="42">
        <f>'Data Sheet'!H25/'Data Sheet'!H$17</f>
        <v>6.1460467377339491E-3</v>
      </c>
      <c r="J14" s="42">
        <f>'Data Sheet'!I25/'Data Sheet'!I$17</f>
        <v>7.5415896487985214E-3</v>
      </c>
      <c r="K14" s="42">
        <f>'Data Sheet'!J25/'Data Sheet'!J$17</f>
        <v>1.0453370918487198E-2</v>
      </c>
      <c r="L14" s="42">
        <f>'Data Sheet'!K25/'Data Sheet'!K$17</f>
        <v>8.0554452825195178E-3</v>
      </c>
    </row>
    <row r="15" spans="1:12" x14ac:dyDescent="0.3">
      <c r="B15" s="69" t="str">
        <f>'Data Sheet'!A26</f>
        <v>Depreciation</v>
      </c>
      <c r="C15" s="42">
        <f>'Data Sheet'!B26/'Data Sheet'!B$17</f>
        <v>8.7079600811997993E-3</v>
      </c>
      <c r="D15" s="42">
        <f>'Data Sheet'!C26/'Data Sheet'!C$17</f>
        <v>8.3350740489094577E-3</v>
      </c>
      <c r="E15" s="42">
        <f>'Data Sheet'!D26/'Data Sheet'!D$17</f>
        <v>8.1533421382563153E-3</v>
      </c>
      <c r="F15" s="42">
        <f>'Data Sheet'!E26/'Data Sheet'!E$17</f>
        <v>8.2331741707670752E-3</v>
      </c>
      <c r="G15" s="42">
        <f>'Data Sheet'!F26/'Data Sheet'!F$17</f>
        <v>1.6530495914877447E-2</v>
      </c>
      <c r="H15" s="42">
        <f>'Data Sheet'!G26/'Data Sheet'!G$17</f>
        <v>1.7325817778599151E-2</v>
      </c>
      <c r="I15" s="42">
        <f>'Data Sheet'!H26/'Data Sheet'!H$17</f>
        <v>1.3854647730823988E-2</v>
      </c>
      <c r="J15" s="42">
        <f>'Data Sheet'!I26/'Data Sheet'!I$17</f>
        <v>1.0868761552680222E-2</v>
      </c>
      <c r="K15" s="42">
        <f>'Data Sheet'!J26/'Data Sheet'!J$17</f>
        <v>1.1432150967034689E-2</v>
      </c>
      <c r="L15" s="42">
        <f>'Data Sheet'!K26/'Data Sheet'!K$17</f>
        <v>1.146288209606987E-2</v>
      </c>
    </row>
    <row r="16" spans="1:12" x14ac:dyDescent="0.3">
      <c r="B16" s="69" t="str">
        <f>'Data Sheet'!A27</f>
        <v>Interest</v>
      </c>
      <c r="C16" s="42">
        <f>'Data Sheet'!B27/'Data Sheet'!B$17</f>
        <v>3.7566879421491342E-3</v>
      </c>
      <c r="D16" s="42">
        <f>'Data Sheet'!C27/'Data Sheet'!C$17</f>
        <v>2.845975704386528E-3</v>
      </c>
      <c r="E16" s="42">
        <f>'Data Sheet'!D27/'Data Sheet'!D$17</f>
        <v>3.2829252526555899E-3</v>
      </c>
      <c r="F16" s="42">
        <f>'Data Sheet'!E27/'Data Sheet'!E$17</f>
        <v>2.6564171636704868E-3</v>
      </c>
      <c r="G16" s="42">
        <f>'Data Sheet'!F27/'Data Sheet'!F$17</f>
        <v>7.8852365570967128E-3</v>
      </c>
      <c r="H16" s="42">
        <f>'Data Sheet'!G27/'Data Sheet'!G$17</f>
        <v>9.3790426908150065E-3</v>
      </c>
      <c r="I16" s="42">
        <f>'Data Sheet'!H27/'Data Sheet'!H$17</f>
        <v>7.5697072815028299E-3</v>
      </c>
      <c r="J16" s="42">
        <f>'Data Sheet'!I27/'Data Sheet'!I$17</f>
        <v>7.3937153419593345E-3</v>
      </c>
      <c r="K16" s="42">
        <f>'Data Sheet'!J27/'Data Sheet'!J$17</f>
        <v>1.2117297001017931E-2</v>
      </c>
      <c r="L16" s="42">
        <f>'Data Sheet'!K27/'Data Sheet'!K$17</f>
        <v>1.5763530501521766E-2</v>
      </c>
    </row>
    <row r="17" spans="2:12" x14ac:dyDescent="0.3">
      <c r="B17" s="69" t="str">
        <f>'Data Sheet'!A28</f>
        <v>Profit before tax</v>
      </c>
      <c r="C17" s="42">
        <f>'Data Sheet'!B28/'Data Sheet'!B$17</f>
        <v>7.6988157919241851E-2</v>
      </c>
      <c r="D17" s="42">
        <f>'Data Sheet'!C28/'Data Sheet'!C$17</f>
        <v>7.3392841926184102E-2</v>
      </c>
      <c r="E17" s="42">
        <f>'Data Sheet'!D28/'Data Sheet'!D$17</f>
        <v>9.4900857766581026E-2</v>
      </c>
      <c r="F17" s="42">
        <f>'Data Sheet'!E28/'Data Sheet'!E$17</f>
        <v>9.8940163369149972E-2</v>
      </c>
      <c r="G17" s="42">
        <f>'Data Sheet'!F28/'Data Sheet'!F$17</f>
        <v>9.9847995439863196E-2</v>
      </c>
      <c r="H17" s="42">
        <f>'Data Sheet'!G28/'Data Sheet'!G$17</f>
        <v>6.1310293845869522E-2</v>
      </c>
      <c r="I17" s="42">
        <f>'Data Sheet'!H28/'Data Sheet'!H$17</f>
        <v>0.10083683461231292</v>
      </c>
      <c r="J17" s="42">
        <f>'Data Sheet'!I28/'Data Sheet'!I$17</f>
        <v>0.10959950708564387</v>
      </c>
      <c r="K17" s="42">
        <f>'Data Sheet'!J28/'Data Sheet'!J$17</f>
        <v>9.0498003288700959E-2</v>
      </c>
      <c r="L17" s="42">
        <f>'Data Sheet'!K28/'Data Sheet'!K$17</f>
        <v>7.5013232764324464E-2</v>
      </c>
    </row>
    <row r="18" spans="2:12" x14ac:dyDescent="0.3">
      <c r="B18" s="69" t="str">
        <f>'Data Sheet'!A29</f>
        <v>Tax</v>
      </c>
      <c r="C18" s="42">
        <f>'Data Sheet'!B29/'Data Sheet'!B$17</f>
        <v>1.6991119991415313E-2</v>
      </c>
      <c r="D18" s="42">
        <f>'Data Sheet'!C29/'Data Sheet'!C$17</f>
        <v>2.0810914550597515E-2</v>
      </c>
      <c r="E18" s="42">
        <f>'Data Sheet'!D29/'Data Sheet'!D$17</f>
        <v>2.6543182688090462E-2</v>
      </c>
      <c r="F18" s="42">
        <f>'Data Sheet'!E29/'Data Sheet'!E$17</f>
        <v>2.8730157767113008E-2</v>
      </c>
      <c r="G18" s="42">
        <f>'Data Sheet'!F29/'Data Sheet'!F$17</f>
        <v>2.892836785103553E-2</v>
      </c>
      <c r="H18" s="42">
        <f>'Data Sheet'!G29/'Data Sheet'!G$17</f>
        <v>1.6309369802254666E-2</v>
      </c>
      <c r="I18" s="42">
        <f>'Data Sheet'!H29/'Data Sheet'!H$17</f>
        <v>2.4514740095142193E-2</v>
      </c>
      <c r="J18" s="42">
        <f>'Data Sheet'!I29/'Data Sheet'!I$17</f>
        <v>2.8909426987060997E-2</v>
      </c>
      <c r="K18" s="42">
        <f>'Data Sheet'!J29/'Data Sheet'!J$17</f>
        <v>2.2061702294260434E-2</v>
      </c>
      <c r="L18" s="42">
        <f>'Data Sheet'!K29/'Data Sheet'!K$17</f>
        <v>1.9816064575889903E-2</v>
      </c>
    </row>
    <row r="19" spans="2:12" x14ac:dyDescent="0.3">
      <c r="B19" s="69" t="str">
        <f>'Data Sheet'!A30</f>
        <v>Net profit</v>
      </c>
      <c r="C19" s="42">
        <f>'Data Sheet'!B30/'Data Sheet'!B$17</f>
        <v>5.9819668336601371E-2</v>
      </c>
      <c r="D19" s="42">
        <f>'Data Sheet'!C30/'Data Sheet'!C$17</f>
        <v>5.3651996142021277E-2</v>
      </c>
      <c r="E19" s="42">
        <f>'Data Sheet'!D30/'Data Sheet'!D$17</f>
        <v>7.010583897909213E-2</v>
      </c>
      <c r="F19" s="42">
        <f>'Data Sheet'!E30/'Data Sheet'!E$17</f>
        <v>7.0993684057249984E-2</v>
      </c>
      <c r="G19" s="42">
        <f>'Data Sheet'!F30/'Data Sheet'!F$17</f>
        <v>7.1299638989169675E-2</v>
      </c>
      <c r="H19" s="42">
        <f>'Data Sheet'!G30/'Data Sheet'!G$17</f>
        <v>4.495472186287193E-2</v>
      </c>
      <c r="I19" s="42">
        <f>'Data Sheet'!H30/'Data Sheet'!H$17</f>
        <v>7.5454008819750687E-2</v>
      </c>
      <c r="J19" s="42">
        <f>'Data Sheet'!I30/'Data Sheet'!I$17</f>
        <v>8.0098582871226121E-2</v>
      </c>
      <c r="K19" s="42">
        <f>'Data Sheet'!J30/'Data Sheet'!J$17</f>
        <v>6.8436300994440535E-2</v>
      </c>
      <c r="L19" s="42">
        <f>'Data Sheet'!K30/'Data Sheet'!K$17</f>
        <v>5.5197168188434564E-2</v>
      </c>
    </row>
    <row r="20" spans="2:12" x14ac:dyDescent="0.3">
      <c r="B20" s="69" t="str">
        <f>'Data Sheet'!A31</f>
        <v>Dividend Amount</v>
      </c>
      <c r="C20" s="42">
        <f>'Data Sheet'!B31/'Data Sheet'!B$17</f>
        <v>1.7321914279050256E-2</v>
      </c>
      <c r="D20" s="42">
        <f>'Data Sheet'!C31/'Data Sheet'!C$17</f>
        <v>1.7406904394370488E-2</v>
      </c>
      <c r="E20" s="42">
        <f>'Data Sheet'!D31/'Data Sheet'!D$17</f>
        <v>2.0652900134431197E-2</v>
      </c>
      <c r="F20" s="42">
        <f>'Data Sheet'!E31/'Data Sheet'!E$17</f>
        <v>2.2443539759294424E-2</v>
      </c>
      <c r="G20" s="42">
        <f>'Data Sheet'!F31/'Data Sheet'!F$17</f>
        <v>1.6910507315219456E-2</v>
      </c>
      <c r="H20" s="42">
        <f>'Data Sheet'!G31/'Data Sheet'!G$17</f>
        <v>1.6447976344483459E-2</v>
      </c>
      <c r="I20" s="42">
        <f>'Data Sheet'!H31/'Data Sheet'!H$17</f>
        <v>2.3177888121115316E-2</v>
      </c>
      <c r="J20" s="42">
        <f>'Data Sheet'!I31/'Data Sheet'!I$17</f>
        <v>2.1934688847812692E-2</v>
      </c>
      <c r="K20" s="42">
        <f>'Data Sheet'!J31/'Data Sheet'!J$17</f>
        <v>1.9164513350559863E-2</v>
      </c>
      <c r="L20" s="42">
        <f>'Data Sheet'!K31/'Data Sheet'!K$17</f>
        <v>1.6193595342066956E-2</v>
      </c>
    </row>
    <row r="21" spans="2:12" x14ac:dyDescent="0.3">
      <c r="B21" s="69" t="str">
        <f>'Data Sheet'!A33</f>
        <v>EBITDA</v>
      </c>
      <c r="C21" s="42">
        <f>'Data Sheet'!B33/'Data Sheet'!B$17</f>
        <v>8.9275436351365631E-2</v>
      </c>
      <c r="D21" s="42">
        <f>'Data Sheet'!C33/'Data Sheet'!C$17</f>
        <v>8.5643960445914782E-2</v>
      </c>
      <c r="E21" s="42">
        <f>'Data Sheet'!D33/'Data Sheet'!D$17</f>
        <v>0.1080852890580945</v>
      </c>
      <c r="F21" s="42">
        <f>'Data Sheet'!E33/'Data Sheet'!E$17</f>
        <v>0.11061343315880055</v>
      </c>
      <c r="G21" s="42">
        <f>'Data Sheet'!F33/'Data Sheet'!F$17</f>
        <v>0.12464373931217937</v>
      </c>
      <c r="H21" s="42">
        <f>'Data Sheet'!G33/'Data Sheet'!G$17</f>
        <v>8.7968952134540757E-2</v>
      </c>
      <c r="I21" s="42">
        <f>'Data Sheet'!H33/'Data Sheet'!H$17</f>
        <v>0.12139310392721969</v>
      </c>
      <c r="J21" s="42">
        <f>'Data Sheet'!I33/'Data Sheet'!I$17</f>
        <v>0.12727048675292668</v>
      </c>
      <c r="K21" s="42">
        <f>'Data Sheet'!J33/'Data Sheet'!J$17</f>
        <v>0.11404745125675358</v>
      </c>
      <c r="L21" s="42">
        <f>'Data Sheet'!K33/'Data Sheet'!K$17</f>
        <v>0.1022396453619161</v>
      </c>
    </row>
    <row r="23" spans="2:12" x14ac:dyDescent="0.3">
      <c r="B23" s="269" t="str">
        <f>"Common Size Balance Sheet"&amp;" - "&amp;'Data Sheet'!$B$1</f>
        <v>Common Size Balance Sheet - TITAN COMPANY LTD</v>
      </c>
      <c r="C23" s="269"/>
      <c r="D23" s="269"/>
      <c r="E23" s="269"/>
      <c r="F23" s="269"/>
      <c r="G23" s="269"/>
      <c r="H23" s="269"/>
      <c r="I23" s="269"/>
      <c r="J23" s="269"/>
      <c r="K23" s="269"/>
      <c r="L23" s="269"/>
    </row>
    <row r="25" spans="2:12" x14ac:dyDescent="0.3">
      <c r="B25" s="117" t="s">
        <v>239</v>
      </c>
      <c r="C25" s="118">
        <f>'Data Sheet'!B$16</f>
        <v>42460</v>
      </c>
      <c r="D25" s="118">
        <f>'Data Sheet'!C$16</f>
        <v>42825</v>
      </c>
      <c r="E25" s="118">
        <f>'Data Sheet'!D$16</f>
        <v>43190</v>
      </c>
      <c r="F25" s="118">
        <f>'Data Sheet'!E$16</f>
        <v>43555</v>
      </c>
      <c r="G25" s="118">
        <f>'Data Sheet'!F$16</f>
        <v>43921</v>
      </c>
      <c r="H25" s="118">
        <f>'Data Sheet'!G$16</f>
        <v>44286</v>
      </c>
      <c r="I25" s="118">
        <f>'Data Sheet'!H$16</f>
        <v>44651</v>
      </c>
      <c r="J25" s="118">
        <f>'Data Sheet'!I$16</f>
        <v>45016</v>
      </c>
      <c r="K25" s="118">
        <f>'Data Sheet'!J$16</f>
        <v>45382</v>
      </c>
      <c r="L25" s="118">
        <f>'Data Sheet'!K$16</f>
        <v>45747</v>
      </c>
    </row>
    <row r="26" spans="2:12" x14ac:dyDescent="0.3">
      <c r="B26" s="2"/>
      <c r="C26" s="70"/>
      <c r="D26" s="70"/>
      <c r="E26" s="70"/>
      <c r="F26" s="70"/>
      <c r="G26" s="70"/>
      <c r="H26" s="70"/>
      <c r="I26" s="70"/>
      <c r="J26" s="70"/>
      <c r="K26" s="70"/>
      <c r="L26" s="70"/>
    </row>
    <row r="27" spans="2:12" x14ac:dyDescent="0.3">
      <c r="B27" s="71" t="s">
        <v>129</v>
      </c>
      <c r="C27" s="16">
        <f>'Data Sheet'!B61/'Data Sheet'!B$61</f>
        <v>1</v>
      </c>
      <c r="D27" s="16">
        <f>'Data Sheet'!C61/'Data Sheet'!C$61</f>
        <v>1</v>
      </c>
      <c r="E27" s="16">
        <f>'Data Sheet'!D61/'Data Sheet'!D$61</f>
        <v>1</v>
      </c>
      <c r="F27" s="16">
        <f>'Data Sheet'!E61/'Data Sheet'!E$61</f>
        <v>1</v>
      </c>
      <c r="G27" s="16">
        <f>'Data Sheet'!F61/'Data Sheet'!F$61</f>
        <v>1</v>
      </c>
      <c r="H27" s="16">
        <f>'Data Sheet'!G61/'Data Sheet'!G$61</f>
        <v>1</v>
      </c>
      <c r="I27" s="16">
        <f>'Data Sheet'!H61/'Data Sheet'!H$61</f>
        <v>1</v>
      </c>
      <c r="J27" s="16">
        <f>'Data Sheet'!I61/'Data Sheet'!I$61</f>
        <v>1</v>
      </c>
      <c r="K27" s="16">
        <f>'Data Sheet'!J61/'Data Sheet'!J$61</f>
        <v>1</v>
      </c>
      <c r="L27" s="16">
        <f>'Data Sheet'!K61/'Data Sheet'!K$61</f>
        <v>1</v>
      </c>
    </row>
    <row r="28" spans="2:12" x14ac:dyDescent="0.3">
      <c r="B28" s="69" t="str">
        <f>'Data Sheet'!A57</f>
        <v>Equity Share Capital</v>
      </c>
      <c r="C28" s="42">
        <f>'Data Sheet'!B57/'Data Sheet'!B$61</f>
        <v>1.399893722868978E-2</v>
      </c>
      <c r="D28" s="42">
        <f>'Data Sheet'!C57/'Data Sheet'!C$61</f>
        <v>1.0559531469853953E-2</v>
      </c>
      <c r="E28" s="42">
        <f>'Data Sheet'!D57/'Data Sheet'!D$61</f>
        <v>9.3246115970524214E-3</v>
      </c>
      <c r="F28" s="42">
        <f>'Data Sheet'!E57/'Data Sheet'!E$61</f>
        <v>7.5816578194065846E-3</v>
      </c>
      <c r="G28" s="42">
        <f>'Data Sheet'!F57/'Data Sheet'!F$61</f>
        <v>6.5711754282339043E-3</v>
      </c>
      <c r="H28" s="42">
        <f>'Data Sheet'!G57/'Data Sheet'!G$61</f>
        <v>5.4123084407686692E-3</v>
      </c>
      <c r="I28" s="42">
        <f>'Data Sheet'!H57/'Data Sheet'!H$61</f>
        <v>4.2004908438738912E-3</v>
      </c>
      <c r="J28" s="42">
        <f>'Data Sheet'!I57/'Data Sheet'!I$61</f>
        <v>3.2938564026646928E-3</v>
      </c>
      <c r="K28" s="42">
        <f>'Data Sheet'!J57/'Data Sheet'!J$61</f>
        <v>2.8211874346213586E-3</v>
      </c>
      <c r="L28" s="42">
        <f>'Data Sheet'!K57/'Data Sheet'!K$61</f>
        <v>2.1896912289334483E-3</v>
      </c>
    </row>
    <row r="29" spans="2:12" x14ac:dyDescent="0.3">
      <c r="B29" s="69" t="str">
        <f>'Data Sheet'!A58</f>
        <v>Reserves</v>
      </c>
      <c r="C29" s="42">
        <f>'Data Sheet'!B58/'Data Sheet'!B$61</f>
        <v>0.53887551226680919</v>
      </c>
      <c r="D29" s="42">
        <f>'Data Sheet'!C58/'Data Sheet'!C$61</f>
        <v>0.49284157015641861</v>
      </c>
      <c r="E29" s="42">
        <f>'Data Sheet'!D58/'Data Sheet'!D$61</f>
        <v>0.52526824800652028</v>
      </c>
      <c r="F29" s="42">
        <f>'Data Sheet'!E58/'Data Sheet'!E$61</f>
        <v>0.51079861039945895</v>
      </c>
      <c r="G29" s="42">
        <f>'Data Sheet'!F58/'Data Sheet'!F$61</f>
        <v>0.48582398109864144</v>
      </c>
      <c r="H29" s="42">
        <f>'Data Sheet'!G58/'Data Sheet'!G$61</f>
        <v>0.45049866212600342</v>
      </c>
      <c r="I29" s="42">
        <f>'Data Sheet'!H58/'Data Sheet'!H$61</f>
        <v>0.43486879365678688</v>
      </c>
      <c r="J29" s="42">
        <f>'Data Sheet'!I58/'Data Sheet'!I$61</f>
        <v>0.43530717986676537</v>
      </c>
      <c r="K29" s="42">
        <f>'Data Sheet'!J58/'Data Sheet'!J$61</f>
        <v>0.29492503249120361</v>
      </c>
      <c r="L29" s="42">
        <f>'Data Sheet'!K58/'Data Sheet'!K$61</f>
        <v>0.28379874523311599</v>
      </c>
    </row>
    <row r="30" spans="2:12" x14ac:dyDescent="0.3">
      <c r="B30" s="69" t="str">
        <f>'Data Sheet'!A59</f>
        <v>Borrowings</v>
      </c>
      <c r="C30" s="42">
        <f>'Data Sheet'!B59/'Data Sheet'!B$61</f>
        <v>1.7825860032703082E-2</v>
      </c>
      <c r="D30" s="42">
        <f>'Data Sheet'!C59/'Data Sheet'!C$61</f>
        <v>0.22389703564763661</v>
      </c>
      <c r="E30" s="42">
        <f>'Data Sheet'!D59/'Data Sheet'!D$61</f>
        <v>0.17760769831867104</v>
      </c>
      <c r="F30" s="42">
        <f>'Data Sheet'!E59/'Data Sheet'!E$61</f>
        <v>0.20435633620954685</v>
      </c>
      <c r="G30" s="42">
        <f>'Data Sheet'!F59/'Data Sheet'!F$61</f>
        <v>0.26299468399291198</v>
      </c>
      <c r="H30" s="42">
        <f>'Data Sheet'!G59/'Data Sheet'!G$61</f>
        <v>0.34286061785453659</v>
      </c>
      <c r="I30" s="42">
        <f>'Data Sheet'!H59/'Data Sheet'!H$61</f>
        <v>0.34335472909193882</v>
      </c>
      <c r="J30" s="42">
        <f>'Data Sheet'!I59/'Data Sheet'!I$61</f>
        <v>0.34666913397483345</v>
      </c>
      <c r="K30" s="42">
        <f>'Data Sheet'!J59/'Data Sheet'!J$61</f>
        <v>0.49221796050337591</v>
      </c>
      <c r="L30" s="42">
        <f>'Data Sheet'!K59/'Data Sheet'!K$61</f>
        <v>0.5111821872309017</v>
      </c>
    </row>
    <row r="31" spans="2:12" x14ac:dyDescent="0.3">
      <c r="B31" s="69" t="str">
        <f>'Data Sheet'!A60</f>
        <v>Other Liabilities</v>
      </c>
      <c r="C31" s="42">
        <f>'Data Sheet'!B60/'Data Sheet'!B$61</f>
        <v>0.42929969047179795</v>
      </c>
      <c r="D31" s="42">
        <f>'Data Sheet'!C60/'Data Sheet'!C$61</f>
        <v>0.27270186272609093</v>
      </c>
      <c r="E31" s="42">
        <f>'Data Sheet'!D60/'Data Sheet'!D$61</f>
        <v>0.28779944207775621</v>
      </c>
      <c r="F31" s="42">
        <f>'Data Sheet'!E60/'Data Sheet'!E$61</f>
        <v>0.27726339557158763</v>
      </c>
      <c r="G31" s="42">
        <f>'Data Sheet'!F60/'Data Sheet'!F$61</f>
        <v>0.24461015948021264</v>
      </c>
      <c r="H31" s="42">
        <f>'Data Sheet'!G60/'Data Sheet'!G$61</f>
        <v>0.20122841157869131</v>
      </c>
      <c r="I31" s="42">
        <f>'Data Sheet'!H60/'Data Sheet'!H$61</f>
        <v>0.21757598640740042</v>
      </c>
      <c r="J31" s="42">
        <f>'Data Sheet'!I60/'Data Sheet'!I$61</f>
        <v>0.21472982975573648</v>
      </c>
      <c r="K31" s="42">
        <f>'Data Sheet'!J60/'Data Sheet'!J$61</f>
        <v>0.21003581957079911</v>
      </c>
      <c r="L31" s="42">
        <f>'Data Sheet'!K60/'Data Sheet'!K$61</f>
        <v>0.20282937630704884</v>
      </c>
    </row>
    <row r="33" spans="2:12" x14ac:dyDescent="0.3">
      <c r="B33" s="71" t="s">
        <v>139</v>
      </c>
      <c r="C33" s="42">
        <f>'Data Sheet'!B76/'Data Sheet'!B$76</f>
        <v>1</v>
      </c>
      <c r="D33" s="42">
        <f>'Data Sheet'!C76/'Data Sheet'!C$76</f>
        <v>1</v>
      </c>
      <c r="E33" s="42">
        <f>'Data Sheet'!D76/'Data Sheet'!D$76</f>
        <v>1</v>
      </c>
      <c r="F33" s="42">
        <f>'Data Sheet'!E76/'Data Sheet'!E$76</f>
        <v>1</v>
      </c>
      <c r="G33" s="42">
        <f>'Data Sheet'!F76/'Data Sheet'!F$76</f>
        <v>1</v>
      </c>
      <c r="H33" s="42">
        <f>'Data Sheet'!G76/'Data Sheet'!G$76</f>
        <v>1</v>
      </c>
      <c r="I33" s="42">
        <f>'Data Sheet'!H76/'Data Sheet'!H$76</f>
        <v>1</v>
      </c>
      <c r="J33" s="42">
        <f>'Data Sheet'!I76/'Data Sheet'!I$76</f>
        <v>1</v>
      </c>
      <c r="K33" s="42">
        <f>'Data Sheet'!J76/'Data Sheet'!J$76</f>
        <v>1</v>
      </c>
      <c r="L33" s="42">
        <f>'Data Sheet'!K76/'Data Sheet'!K$76</f>
        <v>1</v>
      </c>
    </row>
    <row r="34" spans="2:12" x14ac:dyDescent="0.3">
      <c r="B34" s="69" t="str">
        <f>'Data Sheet'!A62</f>
        <v>Net Block</v>
      </c>
      <c r="C34" s="42">
        <f>'Data Sheet'!B62/'Data Sheet'!B$76</f>
        <v>0.12149967438831519</v>
      </c>
      <c r="D34" s="42">
        <f>'Data Sheet'!C62/'Data Sheet'!C$76</f>
        <v>0.14138686921429142</v>
      </c>
      <c r="E34" s="42">
        <f>'Data Sheet'!D62/'Data Sheet'!D$76</f>
        <v>0.15479506440472887</v>
      </c>
      <c r="F34" s="42">
        <f>'Data Sheet'!E62/'Data Sheet'!E$76</f>
        <v>0.13378748129778034</v>
      </c>
      <c r="G34" s="42">
        <f>'Data Sheet'!F62/'Data Sheet'!F$76</f>
        <v>0.19440342587123449</v>
      </c>
      <c r="H34" s="42">
        <f>'Data Sheet'!G62/'Data Sheet'!G$76</f>
        <v>0.15342982242763317</v>
      </c>
      <c r="I34" s="42">
        <f>'Data Sheet'!H62/'Data Sheet'!H$76</f>
        <v>0.12006796299792336</v>
      </c>
      <c r="J34" s="42">
        <f>'Data Sheet'!I62/'Data Sheet'!I$76</f>
        <v>0.11095484826054774</v>
      </c>
      <c r="K34" s="42">
        <f>'Data Sheet'!J62/'Data Sheet'!J$76</f>
        <v>0.11757060893270359</v>
      </c>
      <c r="L34" s="42">
        <f>'Data Sheet'!K62/'Data Sheet'!K$76</f>
        <v>9.9938491819411987E-2</v>
      </c>
    </row>
    <row r="35" spans="2:12" x14ac:dyDescent="0.3">
      <c r="B35" s="69" t="str">
        <f>'Data Sheet'!A63</f>
        <v>Capital Work in Progress</v>
      </c>
      <c r="C35" s="42">
        <f>'Data Sheet'!B63/'Data Sheet'!B$76</f>
        <v>1.6826161203801378E-2</v>
      </c>
      <c r="D35" s="42">
        <f>'Data Sheet'!C63/'Data Sheet'!C$76</f>
        <v>1.8087271351888833E-2</v>
      </c>
      <c r="E35" s="42">
        <f>'Data Sheet'!D63/'Data Sheet'!D$76</f>
        <v>4.5551746447867036E-3</v>
      </c>
      <c r="F35" s="42">
        <f>'Data Sheet'!E63/'Data Sheet'!E$76</f>
        <v>2.7131028263409234E-3</v>
      </c>
      <c r="G35" s="42">
        <f>'Data Sheet'!F63/'Data Sheet'!F$76</f>
        <v>1.3290017720023627E-3</v>
      </c>
      <c r="H35" s="42">
        <f>'Data Sheet'!G63/'Data Sheet'!G$76</f>
        <v>1.9459985405010946E-3</v>
      </c>
      <c r="I35" s="42">
        <f>'Data Sheet'!H63/'Data Sheet'!H$76</f>
        <v>4.0117047385312445E-3</v>
      </c>
      <c r="J35" s="42">
        <f>'Data Sheet'!I63/'Data Sheet'!I$76</f>
        <v>5.329385640266469E-3</v>
      </c>
      <c r="K35" s="42">
        <f>'Data Sheet'!J63/'Data Sheet'!J$76</f>
        <v>3.0747773163850764E-3</v>
      </c>
      <c r="L35" s="42">
        <f>'Data Sheet'!K63/'Data Sheet'!K$76</f>
        <v>2.5833435846967646E-3</v>
      </c>
    </row>
    <row r="36" spans="2:12" x14ac:dyDescent="0.3">
      <c r="B36" s="69" t="str">
        <f>'Data Sheet'!A64</f>
        <v>Investments</v>
      </c>
      <c r="C36" s="42">
        <f>'Data Sheet'!B64/'Data Sheet'!B$76</f>
        <v>4.7950853922556456E-3</v>
      </c>
      <c r="D36" s="42">
        <f>'Data Sheet'!C64/'Data Sheet'!C$76</f>
        <v>5.1231211872158074E-2</v>
      </c>
      <c r="E36" s="42">
        <f>'Data Sheet'!D64/'Data Sheet'!D$76</f>
        <v>3.7800492383185027E-3</v>
      </c>
      <c r="F36" s="42">
        <f>'Data Sheet'!E64/'Data Sheet'!E$76</f>
        <v>9.2588797114221879E-3</v>
      </c>
      <c r="G36" s="42">
        <f>'Data Sheet'!F64/'Data Sheet'!F$76</f>
        <v>1.1665682220909628E-2</v>
      </c>
      <c r="H36" s="42">
        <f>'Data Sheet'!G64/'Data Sheet'!G$76</f>
        <v>0.17173437119922161</v>
      </c>
      <c r="I36" s="42">
        <f>'Data Sheet'!H64/'Data Sheet'!H$76</f>
        <v>1.3875778742684539E-2</v>
      </c>
      <c r="J36" s="42">
        <f>'Data Sheet'!I64/'Data Sheet'!I$76</f>
        <v>9.3079200592153966E-2</v>
      </c>
      <c r="K36" s="42">
        <f>'Data Sheet'!J64/'Data Sheet'!J$76</f>
        <v>7.4333534091989728E-2</v>
      </c>
      <c r="L36" s="42">
        <f>'Data Sheet'!K64/'Data Sheet'!K$76</f>
        <v>4.8911305203592076E-2</v>
      </c>
    </row>
    <row r="37" spans="2:12" x14ac:dyDescent="0.3">
      <c r="B37" s="69" t="str">
        <f>'Data Sheet'!A65</f>
        <v>Other Assets</v>
      </c>
      <c r="C37" s="42">
        <f>'Data Sheet'!B74/'Data Sheet'!B$76</f>
        <v>0.10694727613605365</v>
      </c>
      <c r="D37" s="42">
        <f>'Data Sheet'!C74/'Data Sheet'!C$76</f>
        <v>8.6086705195436944E-2</v>
      </c>
      <c r="E37" s="42">
        <f>'Data Sheet'!D74/'Data Sheet'!D$76</f>
        <v>0.11862464604707051</v>
      </c>
      <c r="F37" s="42">
        <f>'Data Sheet'!E74/'Data Sheet'!E$76</f>
        <v>0.12615629248563603</v>
      </c>
      <c r="G37" s="42">
        <f>'Data Sheet'!F74/'Data Sheet'!F$76</f>
        <v>0.14316302421736563</v>
      </c>
      <c r="H37" s="42">
        <f>'Data Sheet'!G74/'Data Sheet'!G$76</f>
        <v>0.10526635855023109</v>
      </c>
      <c r="I37" s="42">
        <f>'Data Sheet'!H74/'Data Sheet'!H$76</f>
        <v>0.11884085331319615</v>
      </c>
      <c r="J37" s="42">
        <f>'Data Sheet'!I74/'Data Sheet'!I$76</f>
        <v>0.10222057735011103</v>
      </c>
      <c r="K37" s="42">
        <f>'Data Sheet'!J74/'Data Sheet'!J$76</f>
        <v>0.12048689257298634</v>
      </c>
      <c r="L37" s="42">
        <f>'Data Sheet'!K74/'Data Sheet'!K$76</f>
        <v>8.990035674744741E-2</v>
      </c>
    </row>
    <row r="38" spans="2:12" x14ac:dyDescent="0.3">
      <c r="B38" s="69" t="str">
        <f>'Data Sheet'!A67</f>
        <v>Receivables</v>
      </c>
      <c r="C38" s="42">
        <f>'Data Sheet'!B67/'Data Sheet'!B$76</f>
        <v>3.035363163463373E-2</v>
      </c>
      <c r="D38" s="42">
        <f>'Data Sheet'!C67/'Data Sheet'!C$76</f>
        <v>2.4692033488867771E-2</v>
      </c>
      <c r="E38" s="42">
        <f>'Data Sheet'!D67/'Data Sheet'!D$76</f>
        <v>3.105648122474015E-2</v>
      </c>
      <c r="F38" s="42">
        <f>'Data Sheet'!E67/'Data Sheet'!E$76</f>
        <v>3.5905699821688425E-2</v>
      </c>
      <c r="G38" s="42">
        <f>'Data Sheet'!F67/'Data Sheet'!F$76</f>
        <v>2.3036030714707618E-2</v>
      </c>
      <c r="H38" s="42">
        <f>'Data Sheet'!G67/'Data Sheet'!G$76</f>
        <v>2.2257358306981268E-2</v>
      </c>
      <c r="I38" s="42">
        <f>'Data Sheet'!H67/'Data Sheet'!H$76</f>
        <v>2.6666037379648858E-2</v>
      </c>
      <c r="J38" s="42">
        <f>'Data Sheet'!I67/'Data Sheet'!I$76</f>
        <v>2.4944485566247225E-2</v>
      </c>
      <c r="K38" s="42">
        <f>'Data Sheet'!J67/'Data Sheet'!J$76</f>
        <v>3.2269312454433069E-2</v>
      </c>
      <c r="L38" s="42">
        <f>'Data Sheet'!K67/'Data Sheet'!K$76</f>
        <v>2.6276294747201379E-2</v>
      </c>
    </row>
    <row r="39" spans="2:12" x14ac:dyDescent="0.3">
      <c r="B39" s="69" t="str">
        <f>'Data Sheet'!A68</f>
        <v>Inventory</v>
      </c>
      <c r="C39" s="42">
        <f>'Data Sheet'!B68/'Data Sheet'!B$76</f>
        <v>0.70123196324135784</v>
      </c>
      <c r="D39" s="42">
        <f>'Data Sheet'!C68/'Data Sheet'!C$76</f>
        <v>0.58586963890874533</v>
      </c>
      <c r="E39" s="42">
        <f>'Data Sheet'!D68/'Data Sheet'!D$76</f>
        <v>0.62228916168821891</v>
      </c>
      <c r="F39" s="42">
        <f>'Data Sheet'!E68/'Data Sheet'!E$76</f>
        <v>0.60110300396931127</v>
      </c>
      <c r="G39" s="42">
        <f>'Data Sheet'!F68/'Data Sheet'!F$76</f>
        <v>0.59827229769639689</v>
      </c>
      <c r="H39" s="42">
        <f>'Data Sheet'!G68/'Data Sheet'!G$76</f>
        <v>0.51131111651666261</v>
      </c>
      <c r="I39" s="42">
        <f>'Data Sheet'!H68/'Data Sheet'!H$76</f>
        <v>0.64229752690202002</v>
      </c>
      <c r="J39" s="42">
        <f>'Data Sheet'!I68/'Data Sheet'!I$76</f>
        <v>0.61376757957068839</v>
      </c>
      <c r="K39" s="42">
        <f>'Data Sheet'!J68/'Data Sheet'!J$76</f>
        <v>0.60389260468507311</v>
      </c>
      <c r="L39" s="42">
        <f>'Data Sheet'!K68/'Data Sheet'!K$76</f>
        <v>0.69341862467708204</v>
      </c>
    </row>
    <row r="40" spans="2:12" x14ac:dyDescent="0.3">
      <c r="B40" s="69" t="str">
        <f>'Data Sheet'!A69</f>
        <v>Cash &amp; Bank</v>
      </c>
      <c r="C40" s="42">
        <f>'Data Sheet'!B69/'Data Sheet'!B$76</f>
        <v>1.8346208003582515E-2</v>
      </c>
      <c r="D40" s="42">
        <f>'Data Sheet'!C69/'Data Sheet'!C$76</f>
        <v>9.2646269968611611E-2</v>
      </c>
      <c r="E40" s="42">
        <f>'Data Sheet'!D69/'Data Sheet'!D$76</f>
        <v>6.489942275213631E-2</v>
      </c>
      <c r="F40" s="42">
        <f>'Data Sheet'!E69/'Data Sheet'!E$76</f>
        <v>9.1075539887820842E-2</v>
      </c>
      <c r="G40" s="42">
        <f>'Data Sheet'!F69/'Data Sheet'!F$76</f>
        <v>2.8130537507383344E-2</v>
      </c>
      <c r="H40" s="42">
        <f>'Data Sheet'!G69/'Data Sheet'!G$76</f>
        <v>3.4054974458769156E-2</v>
      </c>
      <c r="I40" s="42">
        <f>'Data Sheet'!H69/'Data Sheet'!H$76</f>
        <v>7.4240135925995848E-2</v>
      </c>
      <c r="J40" s="42">
        <f>'Data Sheet'!I69/'Data Sheet'!I$76</f>
        <v>4.9703923019985198E-2</v>
      </c>
      <c r="K40" s="42">
        <f>'Data Sheet'!J69/'Data Sheet'!J$76</f>
        <v>4.8372269946429139E-2</v>
      </c>
      <c r="L40" s="42">
        <f>'Data Sheet'!K69/'Data Sheet'!K$76</f>
        <v>3.8971583220568339E-2</v>
      </c>
    </row>
  </sheetData>
  <mergeCells count="2">
    <mergeCell ref="B2:L2"/>
    <mergeCell ref="B23:L23"/>
  </mergeCells>
  <pageMargins left="0.7" right="0.7" top="0.75" bottom="0.75" header="0.3" footer="0.3"/>
  <pageSetup paperSize="9" scale="63" orientation="portrait" horizontalDpi="0" verticalDpi="0" r:id="rId1"/>
  <rowBreaks count="1" manualBreakCount="1">
    <brk id="21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8508-872A-44F9-9552-E7A0BDC39BB6}">
  <sheetPr>
    <tabColor rgb="FF002060"/>
  </sheetPr>
  <dimension ref="A1"/>
  <sheetViews>
    <sheetView showGridLines="0" workbookViewId="0"/>
  </sheetViews>
  <sheetFormatPr defaultColWidth="8.88671875" defaultRowHeight="14.4" x14ac:dyDescent="0.3"/>
  <cols>
    <col min="1" max="16384" width="8.88671875" style="124"/>
  </cols>
  <sheetData/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E210-DDAF-44F1-841A-CBFD45479FB5}">
  <dimension ref="B2:I41"/>
  <sheetViews>
    <sheetView showGridLines="0" zoomScale="62" zoomScaleNormal="62" workbookViewId="0">
      <selection activeCell="D40" sqref="D40"/>
    </sheetView>
  </sheetViews>
  <sheetFormatPr defaultRowHeight="14.4" outlineLevelRow="1" x14ac:dyDescent="0.3"/>
  <cols>
    <col min="1" max="1" width="1.88671875" customWidth="1"/>
    <col min="2" max="2" width="11.44140625" customWidth="1"/>
    <col min="3" max="3" width="13.44140625" customWidth="1"/>
    <col min="4" max="4" width="14.6640625" customWidth="1"/>
    <col min="5" max="9" width="12" bestFit="1" customWidth="1"/>
  </cols>
  <sheetData>
    <row r="2" spans="2:9" x14ac:dyDescent="0.3">
      <c r="B2" s="195" t="s">
        <v>240</v>
      </c>
      <c r="C2" s="195"/>
      <c r="D2" s="196">
        <f>'Intrinsic Growth'!K2</f>
        <v>45747</v>
      </c>
      <c r="E2" s="197">
        <f>D2+365</f>
        <v>46112</v>
      </c>
      <c r="F2" s="197">
        <f t="shared" ref="F2:I2" si="0">E2+365</f>
        <v>46477</v>
      </c>
      <c r="G2" s="197">
        <f t="shared" si="0"/>
        <v>46842</v>
      </c>
      <c r="H2" s="197">
        <f t="shared" si="0"/>
        <v>47207</v>
      </c>
      <c r="I2" s="197">
        <f t="shared" si="0"/>
        <v>47572</v>
      </c>
    </row>
    <row r="4" spans="2:9" x14ac:dyDescent="0.3">
      <c r="B4" s="94" t="s">
        <v>241</v>
      </c>
      <c r="C4" s="94"/>
      <c r="D4" s="207">
        <f>'Data Sheet'!K33-'Data Sheet'!K26</f>
        <v>5488</v>
      </c>
      <c r="E4" s="204">
        <f>D4*(1+$D$14)</f>
        <v>6274.4619879843394</v>
      </c>
      <c r="F4" s="204">
        <f t="shared" ref="F4:I4" si="1">E4*(1+$D$14)</f>
        <v>7173.6285055868057</v>
      </c>
      <c r="G4" s="204">
        <f t="shared" si="1"/>
        <v>8201.6507606095693</v>
      </c>
      <c r="H4" s="204">
        <f t="shared" si="1"/>
        <v>9376.9945218964258</v>
      </c>
      <c r="I4" s="204">
        <f t="shared" si="1"/>
        <v>10720.771809252279</v>
      </c>
    </row>
    <row r="5" spans="2:9" x14ac:dyDescent="0.3">
      <c r="B5" s="94" t="s">
        <v>242</v>
      </c>
      <c r="C5" s="94"/>
      <c r="D5" s="208">
        <v>0.25</v>
      </c>
      <c r="E5" s="205">
        <f>D5</f>
        <v>0.25</v>
      </c>
      <c r="F5" s="205">
        <f t="shared" ref="F5:I5" si="2">E5</f>
        <v>0.25</v>
      </c>
      <c r="G5" s="205">
        <f t="shared" si="2"/>
        <v>0.25</v>
      </c>
      <c r="H5" s="205">
        <f t="shared" si="2"/>
        <v>0.25</v>
      </c>
      <c r="I5" s="205">
        <f t="shared" si="2"/>
        <v>0.25</v>
      </c>
    </row>
    <row r="6" spans="2:9" x14ac:dyDescent="0.3">
      <c r="B6" s="94" t="s">
        <v>243</v>
      </c>
      <c r="C6" s="94"/>
      <c r="D6" s="207">
        <f>D4*(1-D5)</f>
        <v>4116</v>
      </c>
      <c r="E6" s="207">
        <f>E4*(1-E5)</f>
        <v>4705.846490988255</v>
      </c>
      <c r="F6" s="207">
        <f t="shared" ref="F6:I6" si="3">F4*(1-F5)</f>
        <v>5380.221379190104</v>
      </c>
      <c r="G6" s="207">
        <f t="shared" si="3"/>
        <v>6151.2380704571769</v>
      </c>
      <c r="H6" s="207">
        <f t="shared" si="3"/>
        <v>7032.7458914223189</v>
      </c>
      <c r="I6" s="207">
        <f t="shared" si="3"/>
        <v>8040.5788569392098</v>
      </c>
    </row>
    <row r="7" spans="2:9" x14ac:dyDescent="0.3">
      <c r="B7" s="94" t="s">
        <v>244</v>
      </c>
      <c r="C7" s="94"/>
      <c r="D7" s="209">
        <f>'Intrinsic Growth'!K54</f>
        <v>0.10231336604404706</v>
      </c>
      <c r="E7" s="205">
        <f>D7</f>
        <v>0.10231336604404706</v>
      </c>
      <c r="F7" s="205">
        <f t="shared" ref="F7:I7" si="4">E7</f>
        <v>0.10231336604404706</v>
      </c>
      <c r="G7" s="205">
        <f t="shared" si="4"/>
        <v>0.10231336604404706</v>
      </c>
      <c r="H7" s="205">
        <f t="shared" si="4"/>
        <v>0.10231336604404706</v>
      </c>
      <c r="I7" s="205">
        <f t="shared" si="4"/>
        <v>0.10231336604404706</v>
      </c>
    </row>
    <row r="8" spans="2:9" x14ac:dyDescent="0.3">
      <c r="B8" s="94" t="s">
        <v>245</v>
      </c>
      <c r="C8" s="94"/>
      <c r="D8" s="207">
        <f>D6*(1-D7)</f>
        <v>3694.8781853627024</v>
      </c>
      <c r="E8" s="204">
        <f>E6*(1-E7)</f>
        <v>4224.3754964086793</v>
      </c>
      <c r="F8" s="204">
        <f t="shared" ref="F8:H8" si="5">F6*(1-F7)</f>
        <v>4829.7528198230193</v>
      </c>
      <c r="G8" s="204">
        <f t="shared" si="5"/>
        <v>5521.884198130414</v>
      </c>
      <c r="H8" s="204">
        <f t="shared" si="5"/>
        <v>6313.2019867384588</v>
      </c>
      <c r="I8" s="204">
        <f>I6*(1-I7)</f>
        <v>7217.9201691431626</v>
      </c>
    </row>
    <row r="9" spans="2:9" x14ac:dyDescent="0.3">
      <c r="B9" s="94" t="s">
        <v>246</v>
      </c>
      <c r="C9" s="94"/>
      <c r="D9" s="210"/>
      <c r="E9" s="206">
        <v>0.5</v>
      </c>
      <c r="F9" s="94">
        <f>E9+1</f>
        <v>1.5</v>
      </c>
      <c r="G9" s="94">
        <f t="shared" ref="G9:I9" si="6">F9+1</f>
        <v>2.5</v>
      </c>
      <c r="H9" s="94">
        <f t="shared" si="6"/>
        <v>3.5</v>
      </c>
      <c r="I9" s="94">
        <f t="shared" si="6"/>
        <v>4.5</v>
      </c>
    </row>
    <row r="10" spans="2:9" x14ac:dyDescent="0.3">
      <c r="B10" s="94" t="s">
        <v>247</v>
      </c>
      <c r="C10" s="94"/>
      <c r="D10" s="210"/>
      <c r="E10" s="213">
        <f>1/(1+$D$16)^E9</f>
        <v>0.94678912442056173</v>
      </c>
      <c r="F10" s="213">
        <f t="shared" ref="F10:I10" si="7">1/(1+$D$16)^F9</f>
        <v>0.84871090397309801</v>
      </c>
      <c r="G10" s="213">
        <f t="shared" si="7"/>
        <v>0.76079264108960454</v>
      </c>
      <c r="H10" s="213">
        <f t="shared" si="7"/>
        <v>0.68198186217063428</v>
      </c>
      <c r="I10" s="213">
        <f t="shared" si="7"/>
        <v>0.61133511972935561</v>
      </c>
    </row>
    <row r="11" spans="2:9" ht="3.6" customHeight="1" x14ac:dyDescent="0.3">
      <c r="D11" s="211"/>
    </row>
    <row r="12" spans="2:9" ht="15" thickBot="1" x14ac:dyDescent="0.35">
      <c r="B12" s="107" t="s">
        <v>248</v>
      </c>
      <c r="C12" s="107"/>
      <c r="D12" s="212"/>
      <c r="E12" s="214">
        <f>E8*E10</f>
        <v>3999.5927774684492</v>
      </c>
      <c r="F12" s="214">
        <f t="shared" ref="F12:I12" si="8">F8*F10</f>
        <v>4099.0638816786141</v>
      </c>
      <c r="G12" s="214">
        <f t="shared" si="8"/>
        <v>4201.0088628865906</v>
      </c>
      <c r="H12" s="214">
        <f t="shared" si="8"/>
        <v>4305.4892471752419</v>
      </c>
      <c r="I12" s="214">
        <f t="shared" si="8"/>
        <v>4412.5680908000659</v>
      </c>
    </row>
    <row r="14" spans="2:9" outlineLevel="1" x14ac:dyDescent="0.3">
      <c r="B14" s="202" t="s">
        <v>249</v>
      </c>
      <c r="C14" s="202"/>
      <c r="D14" s="203">
        <f>'Intrinsic Growth'!K63</f>
        <v>0.14330575582805008</v>
      </c>
      <c r="E14" s="5"/>
      <c r="F14" s="5"/>
      <c r="G14" s="5"/>
      <c r="H14" s="5"/>
      <c r="I14" s="5"/>
    </row>
    <row r="15" spans="2:9" outlineLevel="1" x14ac:dyDescent="0.3">
      <c r="B15" s="202" t="s">
        <v>250</v>
      </c>
      <c r="C15" s="202"/>
      <c r="D15" s="203">
        <v>6.5000000000000002E-2</v>
      </c>
    </row>
    <row r="16" spans="2:9" outlineLevel="1" x14ac:dyDescent="0.3">
      <c r="B16" s="202" t="s">
        <v>251</v>
      </c>
      <c r="C16" s="202"/>
      <c r="D16" s="203">
        <f>WACC!J47</f>
        <v>0.11556140022276941</v>
      </c>
    </row>
    <row r="18" spans="2:4" x14ac:dyDescent="0.3">
      <c r="B18" s="195" t="s">
        <v>252</v>
      </c>
      <c r="C18" s="195"/>
      <c r="D18" s="217"/>
    </row>
    <row r="20" spans="2:4" x14ac:dyDescent="0.3">
      <c r="B20" t="s">
        <v>253</v>
      </c>
      <c r="D20" s="69">
        <f>I8*(1+D14)</f>
        <v>8252.2896744887512</v>
      </c>
    </row>
    <row r="21" spans="2:4" x14ac:dyDescent="0.3">
      <c r="B21" t="s">
        <v>251</v>
      </c>
      <c r="D21" s="5">
        <f>D16</f>
        <v>0.11556140022276941</v>
      </c>
    </row>
    <row r="22" spans="2:4" x14ac:dyDescent="0.3">
      <c r="B22" t="s">
        <v>254</v>
      </c>
      <c r="D22" s="5">
        <f>D15</f>
        <v>6.5000000000000002E-2</v>
      </c>
    </row>
    <row r="23" spans="2:4" ht="3.6" customHeight="1" x14ac:dyDescent="0.3"/>
    <row r="24" spans="2:4" ht="15" thickBot="1" x14ac:dyDescent="0.35">
      <c r="B24" s="215" t="s">
        <v>255</v>
      </c>
      <c r="C24" s="215"/>
      <c r="D24" s="216">
        <f>D20/(D21-D22)</f>
        <v>163213.234564902</v>
      </c>
    </row>
    <row r="26" spans="2:4" x14ac:dyDescent="0.3">
      <c r="B26" s="195" t="s">
        <v>256</v>
      </c>
      <c r="C26" s="195"/>
      <c r="D26" s="217"/>
    </row>
    <row r="28" spans="2:4" x14ac:dyDescent="0.3">
      <c r="B28" t="s">
        <v>248</v>
      </c>
      <c r="D28" s="69">
        <f>SUM(E12:I12)</f>
        <v>21017.722860008962</v>
      </c>
    </row>
    <row r="29" spans="2:4" x14ac:dyDescent="0.3">
      <c r="B29" t="s">
        <v>257</v>
      </c>
      <c r="D29" s="69">
        <f>D24*I10</f>
        <v>99777.98229414977</v>
      </c>
    </row>
    <row r="30" spans="2:4" x14ac:dyDescent="0.3">
      <c r="B30" s="2" t="s">
        <v>258</v>
      </c>
      <c r="D30" s="69">
        <f>SUM(D28:D29)</f>
        <v>120795.70515415873</v>
      </c>
    </row>
    <row r="31" spans="2:4" x14ac:dyDescent="0.3">
      <c r="D31" s="5"/>
    </row>
    <row r="32" spans="2:4" x14ac:dyDescent="0.3">
      <c r="B32" t="s">
        <v>259</v>
      </c>
      <c r="D32" s="218">
        <f>'Data Sheet'!K69</f>
        <v>1584</v>
      </c>
    </row>
    <row r="33" spans="2:5" ht="14.4" customHeight="1" x14ac:dyDescent="0.3">
      <c r="B33" t="s">
        <v>260</v>
      </c>
      <c r="D33" s="218">
        <f>SUM('Raw FS'!N7:N8)</f>
        <v>18096</v>
      </c>
    </row>
    <row r="34" spans="2:5" ht="14.4" customHeight="1" x14ac:dyDescent="0.3">
      <c r="B34" s="2" t="s">
        <v>261</v>
      </c>
      <c r="D34" s="219">
        <f>D30+D32-D33</f>
        <v>104283.70515415873</v>
      </c>
      <c r="E34" s="218"/>
    </row>
    <row r="35" spans="2:5" ht="14.4" customHeight="1" x14ac:dyDescent="0.3">
      <c r="B35" t="s">
        <v>262</v>
      </c>
      <c r="D35" s="238">
        <f>'Data Sheet'!B6</f>
        <v>88.766701208167476</v>
      </c>
      <c r="E35" s="239"/>
    </row>
    <row r="36" spans="2:5" ht="3.6" customHeight="1" x14ac:dyDescent="0.3"/>
    <row r="37" spans="2:5" ht="15" thickBot="1" x14ac:dyDescent="0.35">
      <c r="B37" s="215" t="s">
        <v>263</v>
      </c>
      <c r="C37" s="215"/>
      <c r="D37" s="216">
        <f>D34/D35</f>
        <v>1174.8065855190698</v>
      </c>
      <c r="E37" s="69"/>
    </row>
    <row r="38" spans="2:5" x14ac:dyDescent="0.3">
      <c r="B38" s="2"/>
      <c r="C38" s="2"/>
      <c r="D38" s="71"/>
      <c r="E38" s="69"/>
    </row>
    <row r="39" spans="2:5" x14ac:dyDescent="0.3">
      <c r="B39" t="s">
        <v>189</v>
      </c>
      <c r="D39">
        <f>'Data Sheet'!B8</f>
        <v>4246.1000000000004</v>
      </c>
    </row>
    <row r="40" spans="2:5" x14ac:dyDescent="0.3">
      <c r="B40" t="s">
        <v>264</v>
      </c>
      <c r="D40" s="236">
        <f>D39/D37-1</f>
        <v>2.6142970701206343</v>
      </c>
    </row>
    <row r="41" spans="2:5" x14ac:dyDescent="0.3">
      <c r="D41" s="241">
        <f>D40</f>
        <v>2.6142970701206343</v>
      </c>
    </row>
  </sheetData>
  <pageMargins left="0.7" right="0.7" top="0.75" bottom="0.75" header="0.3" footer="0.3"/>
  <pageSetup paperSize="9" scale="86" orientation="portrait" horizontalDpi="0" verticalDpi="0" r:id="rId1"/>
  <ignoredErrors>
    <ignoredError sqref="D7" formula="1"/>
    <ignoredError sqref="D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6CA6-C4FE-4657-AEE0-337140A59770}">
  <dimension ref="A2:L64"/>
  <sheetViews>
    <sheetView showGridLines="0" zoomScale="87" zoomScaleNormal="87" workbookViewId="0">
      <selection activeCell="K64" sqref="K64"/>
    </sheetView>
  </sheetViews>
  <sheetFormatPr defaultRowHeight="14.4" x14ac:dyDescent="0.3"/>
  <cols>
    <col min="1" max="1" width="1.88671875" customWidth="1"/>
    <col min="2" max="2" width="29.33203125" bestFit="1" customWidth="1"/>
    <col min="7" max="7" width="12.109375" bestFit="1" customWidth="1"/>
    <col min="8" max="9" width="10.5546875" bestFit="1" customWidth="1"/>
    <col min="10" max="10" width="13.6640625" bestFit="1" customWidth="1"/>
    <col min="11" max="11" width="10.5546875" bestFit="1" customWidth="1"/>
  </cols>
  <sheetData>
    <row r="2" spans="1:11" x14ac:dyDescent="0.3">
      <c r="A2" t="s">
        <v>100</v>
      </c>
      <c r="B2" s="91" t="s">
        <v>265</v>
      </c>
      <c r="C2" s="92"/>
      <c r="D2" s="92"/>
      <c r="E2" s="92"/>
      <c r="F2" s="92"/>
      <c r="G2" s="92">
        <f>'Data Sheet'!G$16</f>
        <v>44286</v>
      </c>
      <c r="H2" s="92">
        <f>'Data Sheet'!H$16</f>
        <v>44651</v>
      </c>
      <c r="I2" s="92">
        <f>'Data Sheet'!I$16</f>
        <v>45016</v>
      </c>
      <c r="J2" s="92">
        <f>'Data Sheet'!J$16</f>
        <v>45382</v>
      </c>
      <c r="K2" s="92">
        <f>'Data Sheet'!K$16</f>
        <v>45747</v>
      </c>
    </row>
    <row r="4" spans="1:11" x14ac:dyDescent="0.3">
      <c r="B4" s="93" t="s">
        <v>266</v>
      </c>
    </row>
    <row r="5" spans="1:11" x14ac:dyDescent="0.3">
      <c r="B5" s="94" t="str">
        <f>'Raw FS'!B36</f>
        <v>Inventories</v>
      </c>
      <c r="C5" s="94"/>
      <c r="D5" s="94"/>
      <c r="E5" s="94"/>
      <c r="F5" s="94"/>
      <c r="G5" s="95">
        <f>'Raw FS'!J36</f>
        <v>8408</v>
      </c>
      <c r="H5" s="95">
        <f>'Raw FS'!K36</f>
        <v>13609</v>
      </c>
      <c r="I5" s="95">
        <f>'Raw FS'!L36</f>
        <v>16584</v>
      </c>
      <c r="J5" s="95">
        <f>'Raw FS'!M36</f>
        <v>19051</v>
      </c>
      <c r="K5" s="95">
        <f>'Raw FS'!N36</f>
        <v>28184</v>
      </c>
    </row>
    <row r="6" spans="1:11" x14ac:dyDescent="0.3">
      <c r="B6" s="94" t="str">
        <f>'Raw FS'!B37</f>
        <v>Trade receivables</v>
      </c>
      <c r="C6" s="94"/>
      <c r="D6" s="94"/>
      <c r="E6" s="94"/>
      <c r="F6" s="94"/>
      <c r="G6" s="95">
        <f>'Raw FS'!J37</f>
        <v>366</v>
      </c>
      <c r="H6" s="95">
        <f>'Raw FS'!K37</f>
        <v>565</v>
      </c>
      <c r="I6" s="95">
        <f>'Raw FS'!L37</f>
        <v>674</v>
      </c>
      <c r="J6" s="95">
        <f>'Raw FS'!M37</f>
        <v>1018</v>
      </c>
      <c r="K6" s="95">
        <f>'Raw FS'!N37</f>
        <v>1068</v>
      </c>
    </row>
    <row r="7" spans="1:11" x14ac:dyDescent="0.3">
      <c r="B7" s="94" t="str">
        <f>'Raw FS'!B39</f>
        <v>Loans n Advances</v>
      </c>
      <c r="C7" s="94"/>
      <c r="D7" s="94"/>
      <c r="E7" s="94"/>
      <c r="F7" s="94"/>
      <c r="G7" s="95">
        <f>'Raw FS'!J39</f>
        <v>109</v>
      </c>
      <c r="H7" s="95">
        <f>'Raw FS'!K39</f>
        <v>29</v>
      </c>
      <c r="I7" s="95">
        <f>'Raw FS'!L39</f>
        <v>167</v>
      </c>
      <c r="J7" s="95">
        <f>'Raw FS'!M39</f>
        <v>151</v>
      </c>
      <c r="K7" s="95">
        <f>'Raw FS'!N39</f>
        <v>324</v>
      </c>
    </row>
    <row r="8" spans="1:11" x14ac:dyDescent="0.3">
      <c r="B8" s="94" t="str">
        <f>'Raw FS'!B40</f>
        <v>Other asset items</v>
      </c>
      <c r="G8" s="95">
        <f>'Raw FS'!J40</f>
        <v>1622</v>
      </c>
      <c r="H8" s="95">
        <f>'Raw FS'!K40</f>
        <v>2489</v>
      </c>
      <c r="I8" s="95">
        <f>'Raw FS'!L40</f>
        <v>2595</v>
      </c>
      <c r="J8" s="95">
        <f>'Raw FS'!M40</f>
        <v>3650</v>
      </c>
      <c r="K8" s="95">
        <f>'Raw FS'!N40</f>
        <v>3330</v>
      </c>
    </row>
    <row r="9" spans="1:11" x14ac:dyDescent="0.3">
      <c r="B9" s="97" t="s">
        <v>138</v>
      </c>
      <c r="C9" s="98"/>
      <c r="D9" s="98"/>
      <c r="E9" s="98"/>
      <c r="F9" s="98"/>
      <c r="G9" s="99">
        <f>SUM(G5:G8)</f>
        <v>10505</v>
      </c>
      <c r="H9" s="99">
        <f t="shared" ref="H9:K9" si="0">SUM(H5:H8)</f>
        <v>16692</v>
      </c>
      <c r="I9" s="99">
        <f t="shared" si="0"/>
        <v>20020</v>
      </c>
      <c r="J9" s="99">
        <f t="shared" si="0"/>
        <v>23870</v>
      </c>
      <c r="K9" s="99">
        <f t="shared" si="0"/>
        <v>32906</v>
      </c>
    </row>
    <row r="10" spans="1:11" x14ac:dyDescent="0.3">
      <c r="G10" s="96"/>
      <c r="H10" s="96"/>
      <c r="I10" s="96"/>
      <c r="J10" s="96"/>
      <c r="K10" s="96"/>
    </row>
    <row r="11" spans="1:11" x14ac:dyDescent="0.3">
      <c r="B11" s="93" t="s">
        <v>267</v>
      </c>
      <c r="G11" s="96"/>
      <c r="H11" s="96"/>
      <c r="I11" s="96"/>
      <c r="J11" s="96"/>
      <c r="K11" s="96"/>
    </row>
    <row r="12" spans="1:11" x14ac:dyDescent="0.3">
      <c r="B12" s="237" t="str">
        <f>'Raw FS'!B8</f>
        <v>Short term Borrowings</v>
      </c>
      <c r="G12" s="96">
        <f>'Raw FS'!J8</f>
        <v>4367</v>
      </c>
      <c r="H12" s="96">
        <f>'Raw FS'!K8</f>
        <v>5914</v>
      </c>
      <c r="I12" s="96">
        <f>'Raw FS'!L8</f>
        <v>7494</v>
      </c>
      <c r="J12" s="96">
        <f>'Raw FS'!M8</f>
        <v>9877</v>
      </c>
      <c r="K12" s="96">
        <f>'Raw FS'!N8</f>
        <v>17501</v>
      </c>
    </row>
    <row r="13" spans="1:11" x14ac:dyDescent="0.3">
      <c r="B13" s="94" t="str">
        <f>'Raw FS'!B13</f>
        <v>Trade Payables</v>
      </c>
      <c r="C13" s="94"/>
      <c r="D13" s="94"/>
      <c r="E13" s="94"/>
      <c r="F13" s="94"/>
      <c r="G13" s="95">
        <f>'Raw FS'!J13</f>
        <v>789</v>
      </c>
      <c r="H13" s="95">
        <f>'Raw FS'!K13</f>
        <v>1294</v>
      </c>
      <c r="I13" s="95">
        <f>'Raw FS'!L13</f>
        <v>1214</v>
      </c>
      <c r="J13" s="95">
        <f>'Raw FS'!M13</f>
        <v>1410</v>
      </c>
      <c r="K13" s="95">
        <f>'Raw FS'!N13</f>
        <v>1963</v>
      </c>
    </row>
    <row r="14" spans="1:11" x14ac:dyDescent="0.3">
      <c r="B14" s="94" t="str">
        <f>'Raw FS'!B15</f>
        <v>Other liability items</v>
      </c>
      <c r="C14" s="94"/>
      <c r="D14" s="94"/>
      <c r="E14" s="94"/>
      <c r="F14" s="94"/>
      <c r="G14">
        <f>'Raw FS'!J15</f>
        <v>2036</v>
      </c>
      <c r="H14">
        <f>'Raw FS'!K15</f>
        <v>2754</v>
      </c>
      <c r="I14">
        <f>'Raw FS'!L15</f>
        <v>3817</v>
      </c>
      <c r="J14">
        <f>'Raw FS'!M15</f>
        <v>4131</v>
      </c>
      <c r="K14">
        <f>'Raw FS'!N15</f>
        <v>4141</v>
      </c>
    </row>
    <row r="15" spans="1:11" x14ac:dyDescent="0.3">
      <c r="B15" s="97" t="s">
        <v>268</v>
      </c>
      <c r="C15" s="98"/>
      <c r="D15" s="98"/>
      <c r="E15" s="98"/>
      <c r="F15" s="98"/>
      <c r="G15" s="99">
        <f>SUM(G12:G14)</f>
        <v>7192</v>
      </c>
      <c r="H15" s="99">
        <f t="shared" ref="H15:K15" si="1">SUM(H12:H14)</f>
        <v>9962</v>
      </c>
      <c r="I15" s="99">
        <f t="shared" si="1"/>
        <v>12525</v>
      </c>
      <c r="J15" s="99">
        <f t="shared" si="1"/>
        <v>15418</v>
      </c>
      <c r="K15" s="99">
        <f t="shared" si="1"/>
        <v>23605</v>
      </c>
    </row>
    <row r="16" spans="1:11" x14ac:dyDescent="0.3">
      <c r="G16" s="96"/>
      <c r="H16" s="96"/>
      <c r="I16" s="96"/>
      <c r="J16" s="96"/>
      <c r="K16" s="96"/>
    </row>
    <row r="17" spans="1:11" ht="15" thickBot="1" x14ac:dyDescent="0.35">
      <c r="A17" t="s">
        <v>100</v>
      </c>
      <c r="B17" s="100" t="s">
        <v>269</v>
      </c>
      <c r="C17" s="101"/>
      <c r="D17" s="101"/>
      <c r="E17" s="101"/>
      <c r="F17" s="101"/>
      <c r="G17" s="102">
        <f>G9-G15</f>
        <v>3313</v>
      </c>
      <c r="H17" s="102">
        <f t="shared" ref="H17:K17" si="2">H9-H15</f>
        <v>6730</v>
      </c>
      <c r="I17" s="102">
        <f t="shared" si="2"/>
        <v>7495</v>
      </c>
      <c r="J17" s="102">
        <f t="shared" si="2"/>
        <v>8452</v>
      </c>
      <c r="K17" s="102">
        <f t="shared" si="2"/>
        <v>9301</v>
      </c>
    </row>
    <row r="18" spans="1:11" x14ac:dyDescent="0.3">
      <c r="G18" s="96"/>
      <c r="H18" s="96"/>
      <c r="I18" s="96"/>
      <c r="J18" s="96"/>
      <c r="K18" s="96"/>
    </row>
    <row r="19" spans="1:11" x14ac:dyDescent="0.3">
      <c r="B19" s="93" t="s">
        <v>270</v>
      </c>
      <c r="G19" s="96"/>
      <c r="H19" s="96"/>
      <c r="I19" s="96"/>
      <c r="J19" s="96"/>
      <c r="K19" s="96"/>
    </row>
    <row r="20" spans="1:11" x14ac:dyDescent="0.3">
      <c r="B20" s="94" t="str">
        <f>'Raw FS'!B19</f>
        <v>Land</v>
      </c>
      <c r="C20" s="94"/>
      <c r="D20" s="94"/>
      <c r="E20" s="94"/>
      <c r="F20" s="94"/>
      <c r="G20" s="95">
        <f>'Raw FS'!J19</f>
        <v>108</v>
      </c>
      <c r="H20" s="95">
        <f>'Raw FS'!K19</f>
        <v>136</v>
      </c>
      <c r="I20" s="95">
        <f>'Raw FS'!L19</f>
        <v>144</v>
      </c>
      <c r="J20" s="95">
        <f>'Raw FS'!M19</f>
        <v>163</v>
      </c>
      <c r="K20" s="95">
        <f>'Raw FS'!N19</f>
        <v>163</v>
      </c>
    </row>
    <row r="21" spans="1:11" x14ac:dyDescent="0.3">
      <c r="B21" s="94" t="str">
        <f>'Raw FS'!B20</f>
        <v>Building</v>
      </c>
      <c r="C21" s="94"/>
      <c r="D21" s="94"/>
      <c r="E21" s="94"/>
      <c r="F21" s="94"/>
      <c r="G21" s="95">
        <f>'Raw FS'!J20</f>
        <v>1617</v>
      </c>
      <c r="H21" s="95">
        <f>'Raw FS'!K20</f>
        <v>1853</v>
      </c>
      <c r="I21" s="95">
        <f>'Raw FS'!L20</f>
        <v>2403</v>
      </c>
      <c r="J21" s="95">
        <f>'Raw FS'!M20</f>
        <v>3546</v>
      </c>
      <c r="K21" s="95">
        <f>'Raw FS'!N20</f>
        <v>4177</v>
      </c>
    </row>
    <row r="22" spans="1:11" x14ac:dyDescent="0.3">
      <c r="B22" s="94" t="str">
        <f>'Raw FS'!B21</f>
        <v>Plant Machinery</v>
      </c>
      <c r="C22" s="94"/>
      <c r="D22" s="94"/>
      <c r="E22" s="94"/>
      <c r="F22" s="94"/>
      <c r="G22" s="95">
        <f>'Raw FS'!J21</f>
        <v>739</v>
      </c>
      <c r="H22" s="95">
        <f>'Raw FS'!K21</f>
        <v>768</v>
      </c>
      <c r="I22" s="95">
        <f>'Raw FS'!L21</f>
        <v>838</v>
      </c>
      <c r="J22" s="95">
        <f>'Raw FS'!M21</f>
        <v>899</v>
      </c>
      <c r="K22" s="95">
        <f>'Raw FS'!N21</f>
        <v>1012</v>
      </c>
    </row>
    <row r="23" spans="1:11" x14ac:dyDescent="0.3">
      <c r="B23" s="94" t="str">
        <f>'Raw FS'!B22</f>
        <v>Equipments</v>
      </c>
      <c r="C23" s="94"/>
      <c r="D23" s="94"/>
      <c r="E23" s="94"/>
      <c r="F23" s="94"/>
      <c r="G23" s="95">
        <f>'Raw FS'!J22</f>
        <v>76</v>
      </c>
      <c r="H23" s="95">
        <f>'Raw FS'!K22</f>
        <v>96</v>
      </c>
      <c r="I23" s="95">
        <f>'Raw FS'!L22</f>
        <v>130</v>
      </c>
      <c r="J23" s="95">
        <f>'Raw FS'!M22</f>
        <v>110</v>
      </c>
      <c r="K23" s="95">
        <f>'Raw FS'!N22</f>
        <v>127</v>
      </c>
    </row>
    <row r="24" spans="1:11" x14ac:dyDescent="0.3">
      <c r="B24" s="94" t="str">
        <f>'Raw FS'!B23</f>
        <v>Computers</v>
      </c>
      <c r="C24" s="94"/>
      <c r="D24" s="94"/>
      <c r="E24" s="94"/>
      <c r="F24" s="94"/>
      <c r="G24" s="95">
        <f>'Raw FS'!J23</f>
        <v>142</v>
      </c>
      <c r="H24" s="95">
        <f>'Raw FS'!K23</f>
        <v>159</v>
      </c>
      <c r="I24" s="95">
        <f>'Raw FS'!L23</f>
        <v>204</v>
      </c>
      <c r="J24" s="95">
        <f>'Raw FS'!M23</f>
        <v>212</v>
      </c>
      <c r="K24" s="95">
        <f>'Raw FS'!N23</f>
        <v>228</v>
      </c>
    </row>
    <row r="25" spans="1:11" x14ac:dyDescent="0.3">
      <c r="B25" s="94" t="str">
        <f>'Raw FS'!B24</f>
        <v>Furniture n fittings</v>
      </c>
      <c r="C25" s="94"/>
      <c r="D25" s="94"/>
      <c r="E25" s="94"/>
      <c r="F25" s="94"/>
      <c r="G25" s="95">
        <f>'Raw FS'!J24</f>
        <v>309</v>
      </c>
      <c r="H25" s="95">
        <f>'Raw FS'!K24</f>
        <v>321</v>
      </c>
      <c r="I25" s="95">
        <f>'Raw FS'!L24</f>
        <v>376</v>
      </c>
      <c r="J25" s="95">
        <f>'Raw FS'!M24</f>
        <v>173</v>
      </c>
      <c r="K25" s="95">
        <f>'Raw FS'!N24</f>
        <v>193</v>
      </c>
    </row>
    <row r="26" spans="1:11" x14ac:dyDescent="0.3">
      <c r="B26" s="94" t="str">
        <f>'Raw FS'!B25</f>
        <v>Vehicles</v>
      </c>
      <c r="C26" s="94"/>
      <c r="D26" s="94"/>
      <c r="E26" s="94"/>
      <c r="F26" s="94"/>
      <c r="G26" s="95">
        <f>'Raw FS'!J25</f>
        <v>30</v>
      </c>
      <c r="H26" s="95">
        <f>'Raw FS'!K25</f>
        <v>38</v>
      </c>
      <c r="I26" s="95">
        <f>'Raw FS'!L25</f>
        <v>40</v>
      </c>
      <c r="J26" s="95">
        <f>'Raw FS'!M25</f>
        <v>50</v>
      </c>
      <c r="K26" s="95">
        <f>'Raw FS'!N25</f>
        <v>57</v>
      </c>
    </row>
    <row r="27" spans="1:11" x14ac:dyDescent="0.3">
      <c r="B27" s="94" t="str">
        <f>'Raw FS'!B26</f>
        <v>Intangible Assets</v>
      </c>
      <c r="C27" s="94"/>
      <c r="D27" s="94"/>
      <c r="E27" s="94"/>
      <c r="F27" s="94"/>
      <c r="G27" s="95">
        <f>'Raw FS'!J26</f>
        <v>320</v>
      </c>
      <c r="H27" s="95">
        <f>'Raw FS'!K26</f>
        <v>320</v>
      </c>
      <c r="I27" s="95">
        <f>'Raw FS'!L26</f>
        <v>320</v>
      </c>
      <c r="J27" s="95">
        <f>'Raw FS'!M26</f>
        <v>320</v>
      </c>
      <c r="K27" s="95">
        <f>'Raw FS'!N26</f>
        <v>320</v>
      </c>
    </row>
    <row r="28" spans="1:11" x14ac:dyDescent="0.3">
      <c r="B28" s="94" t="str">
        <f>'Raw FS'!B27</f>
        <v>Other fixed assets</v>
      </c>
      <c r="C28" s="94"/>
      <c r="D28" s="94"/>
      <c r="E28" s="94"/>
      <c r="F28" s="94"/>
      <c r="G28" s="95">
        <f>'Raw FS'!J27</f>
        <v>158</v>
      </c>
      <c r="H28" s="95">
        <f>'Raw FS'!K27</f>
        <v>157</v>
      </c>
      <c r="I28" s="95">
        <f>'Raw FS'!L27</f>
        <v>205</v>
      </c>
      <c r="J28" s="95">
        <f>'Raw FS'!M27</f>
        <v>305</v>
      </c>
      <c r="K28" s="95">
        <f>'Raw FS'!N27</f>
        <v>369</v>
      </c>
    </row>
    <row r="29" spans="1:11" x14ac:dyDescent="0.3">
      <c r="G29" s="96"/>
      <c r="H29" s="96"/>
      <c r="I29" s="96"/>
      <c r="J29" s="96"/>
      <c r="K29" s="96"/>
    </row>
    <row r="30" spans="1:11" x14ac:dyDescent="0.3">
      <c r="B30" s="97" t="s">
        <v>271</v>
      </c>
      <c r="C30" s="98"/>
      <c r="D30" s="98"/>
      <c r="E30" s="98"/>
      <c r="F30" s="98"/>
      <c r="G30" s="99">
        <f>SUM(G20:G28)</f>
        <v>3499</v>
      </c>
      <c r="H30" s="99">
        <f>SUM(H20:H28)</f>
        <v>3848</v>
      </c>
      <c r="I30" s="99">
        <f>SUM(I20:I28)</f>
        <v>4660</v>
      </c>
      <c r="J30" s="99">
        <f>SUM(J20:J28)</f>
        <v>5778</v>
      </c>
      <c r="K30" s="99">
        <f>SUM(K20:K28)</f>
        <v>6646</v>
      </c>
    </row>
    <row r="31" spans="1:11" x14ac:dyDescent="0.3">
      <c r="B31" t="str">
        <f>'Raw FS'!B29</f>
        <v>Accumulated Depreciation</v>
      </c>
      <c r="G31" s="96">
        <f>-'Raw FS'!J29</f>
        <v>-976</v>
      </c>
      <c r="H31" s="96">
        <f>-'Raw FS'!K29</f>
        <v>-1304</v>
      </c>
      <c r="I31" s="96">
        <f>-'Raw FS'!L29</f>
        <v>-1662</v>
      </c>
      <c r="J31" s="96">
        <f>-'Raw FS'!M29</f>
        <v>-2069</v>
      </c>
      <c r="K31" s="96">
        <f>-'Raw FS'!N29</f>
        <v>-2584</v>
      </c>
    </row>
    <row r="32" spans="1:11" ht="15" thickBot="1" x14ac:dyDescent="0.35">
      <c r="A32" t="s">
        <v>100</v>
      </c>
      <c r="B32" s="100" t="s">
        <v>272</v>
      </c>
      <c r="C32" s="101"/>
      <c r="D32" s="101"/>
      <c r="E32" s="101"/>
      <c r="F32" s="101"/>
      <c r="G32" s="102">
        <f>SUM(G30:G31)</f>
        <v>2523</v>
      </c>
      <c r="H32" s="102">
        <f t="shared" ref="H32:K32" si="3">SUM(H30:H31)</f>
        <v>2544</v>
      </c>
      <c r="I32" s="102">
        <f t="shared" si="3"/>
        <v>2998</v>
      </c>
      <c r="J32" s="102">
        <f t="shared" si="3"/>
        <v>3709</v>
      </c>
      <c r="K32" s="102">
        <f t="shared" si="3"/>
        <v>4062</v>
      </c>
    </row>
    <row r="33" spans="1:11" x14ac:dyDescent="0.3">
      <c r="G33" s="96"/>
      <c r="H33" s="96"/>
      <c r="I33" s="96"/>
      <c r="J33" s="96"/>
      <c r="K33" s="96"/>
    </row>
    <row r="34" spans="1:11" x14ac:dyDescent="0.3">
      <c r="A34" t="s">
        <v>100</v>
      </c>
      <c r="B34" s="93" t="s">
        <v>273</v>
      </c>
      <c r="G34" s="103">
        <f>G32+G17</f>
        <v>5836</v>
      </c>
      <c r="H34" s="103">
        <f>H32+H17</f>
        <v>9274</v>
      </c>
      <c r="I34" s="103">
        <f>I32+I17</f>
        <v>10493</v>
      </c>
      <c r="J34" s="103">
        <f>J32+J17</f>
        <v>12161</v>
      </c>
      <c r="K34" s="103">
        <f>K32+K17</f>
        <v>13363</v>
      </c>
    </row>
    <row r="35" spans="1:11" x14ac:dyDescent="0.3">
      <c r="B35" s="93" t="s">
        <v>241</v>
      </c>
      <c r="C35" s="93"/>
      <c r="D35" s="93"/>
      <c r="E35" s="93"/>
      <c r="F35" s="93"/>
      <c r="G35" s="103">
        <f>HistoricalFS!H18-HistoricalFS!H24</f>
        <v>1350</v>
      </c>
      <c r="H35" s="103">
        <f>HistoricalFS!I18-HistoricalFS!I24</f>
        <v>2945</v>
      </c>
      <c r="I35" s="103">
        <f>HistoricalFS!J18-HistoricalFS!J24</f>
        <v>4441</v>
      </c>
      <c r="J35" s="103">
        <f>HistoricalFS!K18-HistoricalFS!K24</f>
        <v>4708</v>
      </c>
      <c r="K35" s="103">
        <f>HistoricalFS!L18-HistoricalFS!L24</f>
        <v>5001</v>
      </c>
    </row>
    <row r="36" spans="1:11" x14ac:dyDescent="0.3">
      <c r="B36" s="93"/>
      <c r="C36" s="93"/>
      <c r="D36" s="93"/>
      <c r="E36" s="93"/>
      <c r="F36" s="93"/>
      <c r="G36" s="235"/>
      <c r="H36" s="235"/>
      <c r="I36" s="235"/>
      <c r="J36" s="235"/>
      <c r="K36" s="235"/>
    </row>
    <row r="37" spans="1:11" ht="15" thickBot="1" x14ac:dyDescent="0.35">
      <c r="A37" s="104" t="s">
        <v>100</v>
      </c>
      <c r="B37" s="100" t="s">
        <v>274</v>
      </c>
      <c r="C37" s="100"/>
      <c r="D37" s="100"/>
      <c r="E37" s="100"/>
      <c r="F37" s="100"/>
      <c r="G37" s="105">
        <f>G35/G34</f>
        <v>0.23132282385195338</v>
      </c>
      <c r="H37" s="105">
        <f t="shared" ref="H37:K37" si="4">H35/H34</f>
        <v>0.31755445331032994</v>
      </c>
      <c r="I37" s="105">
        <f t="shared" si="4"/>
        <v>0.42323453731058802</v>
      </c>
      <c r="J37" s="105">
        <f t="shared" si="4"/>
        <v>0.38713921552503905</v>
      </c>
      <c r="K37" s="105">
        <f t="shared" si="4"/>
        <v>0.3742423108583402</v>
      </c>
    </row>
    <row r="40" spans="1:11" x14ac:dyDescent="0.3">
      <c r="A40" t="s">
        <v>100</v>
      </c>
      <c r="B40" s="91" t="s">
        <v>275</v>
      </c>
      <c r="C40" s="92"/>
      <c r="D40" s="92"/>
      <c r="E40" s="92"/>
      <c r="F40" s="92"/>
      <c r="G40" s="92">
        <f>'Data Sheet'!G$16</f>
        <v>44286</v>
      </c>
      <c r="H40" s="92">
        <f>'Data Sheet'!H$16</f>
        <v>44651</v>
      </c>
      <c r="I40" s="92">
        <f>'Data Sheet'!I$16</f>
        <v>45016</v>
      </c>
      <c r="J40" s="92">
        <f>'Data Sheet'!J$16</f>
        <v>45382</v>
      </c>
      <c r="K40" s="92">
        <f>'Data Sheet'!K$16</f>
        <v>45747</v>
      </c>
    </row>
    <row r="42" spans="1:11" x14ac:dyDescent="0.3">
      <c r="B42" s="94" t="s">
        <v>276</v>
      </c>
      <c r="C42" s="94"/>
      <c r="D42" s="94"/>
      <c r="E42" s="94"/>
      <c r="F42" s="94"/>
      <c r="G42" s="95">
        <f>SUM('Raw FS'!J59:J60)</f>
        <v>-139</v>
      </c>
      <c r="H42" s="95">
        <f>SUM('Raw FS'!K59:K60)</f>
        <v>-216</v>
      </c>
      <c r="I42" s="95">
        <f>SUM('Raw FS'!L59:L60)</f>
        <v>-420</v>
      </c>
      <c r="J42" s="95">
        <f>SUM('Raw FS'!M59:M60)</f>
        <v>-671</v>
      </c>
      <c r="K42" s="95">
        <f>SUM('Raw FS'!N59:N60)</f>
        <v>-470</v>
      </c>
    </row>
    <row r="43" spans="1:11" x14ac:dyDescent="0.3">
      <c r="B43" s="94" t="s">
        <v>277</v>
      </c>
      <c r="C43" s="94"/>
      <c r="D43" s="94"/>
      <c r="E43" s="94"/>
      <c r="F43" s="94"/>
      <c r="G43" s="95"/>
      <c r="H43" s="95">
        <f>H17-G17</f>
        <v>3417</v>
      </c>
      <c r="I43" s="95">
        <f>I17-H17</f>
        <v>765</v>
      </c>
      <c r="J43" s="95">
        <f>J17-I17</f>
        <v>957</v>
      </c>
      <c r="K43" s="95">
        <f>K17-J17</f>
        <v>849</v>
      </c>
    </row>
    <row r="44" spans="1:11" x14ac:dyDescent="0.3">
      <c r="B44" s="94"/>
      <c r="C44" s="94"/>
      <c r="D44" s="94"/>
      <c r="E44" s="94"/>
      <c r="F44" s="94"/>
      <c r="G44" s="95"/>
      <c r="H44" s="95"/>
      <c r="I44" s="95"/>
      <c r="J44" s="95"/>
      <c r="K44" s="95"/>
    </row>
    <row r="45" spans="1:11" x14ac:dyDescent="0.3">
      <c r="B45" s="94" t="s">
        <v>241</v>
      </c>
      <c r="C45" s="94"/>
      <c r="D45" s="94"/>
      <c r="E45" s="94"/>
      <c r="F45" s="94"/>
      <c r="G45" s="95">
        <f>G35</f>
        <v>1350</v>
      </c>
      <c r="H45" s="95">
        <f t="shared" ref="H45:K45" si="5">H35</f>
        <v>2945</v>
      </c>
      <c r="I45" s="95">
        <f t="shared" si="5"/>
        <v>4441</v>
      </c>
      <c r="J45" s="95">
        <f t="shared" si="5"/>
        <v>4708</v>
      </c>
      <c r="K45" s="95">
        <f t="shared" si="5"/>
        <v>5001</v>
      </c>
    </row>
    <row r="46" spans="1:11" x14ac:dyDescent="0.3">
      <c r="B46" s="94" t="s">
        <v>278</v>
      </c>
      <c r="C46" s="94"/>
      <c r="D46" s="94"/>
      <c r="E46" s="94"/>
      <c r="F46" s="94"/>
      <c r="G46" s="116">
        <v>0.25</v>
      </c>
      <c r="H46" s="116">
        <v>0.25</v>
      </c>
      <c r="I46" s="116">
        <v>0.25</v>
      </c>
      <c r="J46" s="116">
        <v>0.25</v>
      </c>
      <c r="K46" s="116">
        <v>0.25</v>
      </c>
    </row>
    <row r="47" spans="1:11" x14ac:dyDescent="0.3">
      <c r="B47" s="94" t="s">
        <v>243</v>
      </c>
      <c r="C47" s="94"/>
      <c r="D47" s="94"/>
      <c r="E47" s="94"/>
      <c r="F47" s="94"/>
      <c r="G47" s="106">
        <f>G45*(1-G46)</f>
        <v>1012.5</v>
      </c>
      <c r="H47" s="106">
        <f t="shared" ref="H47:K47" si="6">H45*(1-H46)</f>
        <v>2208.75</v>
      </c>
      <c r="I47" s="106">
        <f t="shared" si="6"/>
        <v>3330.75</v>
      </c>
      <c r="J47" s="106">
        <f>J45*(1-J46)</f>
        <v>3531</v>
      </c>
      <c r="K47" s="106">
        <f t="shared" si="6"/>
        <v>3750.75</v>
      </c>
    </row>
    <row r="48" spans="1:11" x14ac:dyDescent="0.3">
      <c r="B48" s="94"/>
      <c r="C48" s="94"/>
      <c r="D48" s="94"/>
      <c r="E48" s="94"/>
      <c r="F48" s="94"/>
      <c r="G48" s="95"/>
      <c r="H48" s="95"/>
      <c r="I48" s="95"/>
      <c r="J48" s="95"/>
      <c r="K48" s="95"/>
    </row>
    <row r="49" spans="1:12" ht="14.4" customHeight="1" x14ac:dyDescent="0.3">
      <c r="B49" s="94" t="s">
        <v>279</v>
      </c>
      <c r="C49" s="94"/>
      <c r="D49" s="94"/>
      <c r="E49" s="94"/>
      <c r="F49" s="94"/>
      <c r="G49" s="95"/>
      <c r="H49" s="95">
        <f>SUM(H42:H43)</f>
        <v>3201</v>
      </c>
      <c r="I49" s="95">
        <f t="shared" ref="I49:K49" si="7">SUM(I42:I43)</f>
        <v>345</v>
      </c>
      <c r="J49" s="95">
        <f t="shared" si="7"/>
        <v>286</v>
      </c>
      <c r="K49" s="95">
        <f t="shared" si="7"/>
        <v>379</v>
      </c>
    </row>
    <row r="50" spans="1:12" x14ac:dyDescent="0.3">
      <c r="L50" s="262"/>
    </row>
    <row r="51" spans="1:12" ht="15" thickBot="1" x14ac:dyDescent="0.35">
      <c r="A51" t="s">
        <v>100</v>
      </c>
      <c r="B51" s="107" t="s">
        <v>280</v>
      </c>
      <c r="C51" s="107"/>
      <c r="D51" s="107"/>
      <c r="E51" s="107"/>
      <c r="F51" s="107"/>
      <c r="G51" s="107"/>
      <c r="H51" s="263">
        <f>H49/H47</f>
        <v>1.4492359932088286</v>
      </c>
      <c r="I51" s="263">
        <f t="shared" ref="I51" si="8">I49/I47</f>
        <v>0.1035802747129025</v>
      </c>
      <c r="J51" s="263">
        <f>J49/J47</f>
        <v>8.0996884735202487E-2</v>
      </c>
      <c r="K51" s="263">
        <f>K49/K47</f>
        <v>0.10104645737519163</v>
      </c>
    </row>
    <row r="52" spans="1:12" x14ac:dyDescent="0.3">
      <c r="H52" s="42"/>
      <c r="I52" s="42"/>
      <c r="J52" s="42"/>
      <c r="K52" s="42"/>
    </row>
    <row r="53" spans="1:12" x14ac:dyDescent="0.3">
      <c r="J53" s="108" t="s">
        <v>281</v>
      </c>
      <c r="K53" s="109">
        <f>AVERAGE(H51:K51)</f>
        <v>0.4337149025080313</v>
      </c>
      <c r="L53" s="233"/>
    </row>
    <row r="54" spans="1:12" x14ac:dyDescent="0.3">
      <c r="J54" s="108" t="s">
        <v>282</v>
      </c>
      <c r="K54" s="109">
        <f>MEDIAN(H51:K51)</f>
        <v>0.10231336604404706</v>
      </c>
    </row>
    <row r="56" spans="1:12" ht="13.95" customHeight="1" x14ac:dyDescent="0.3">
      <c r="A56" s="104" t="s">
        <v>100</v>
      </c>
      <c r="B56" s="91" t="s">
        <v>283</v>
      </c>
      <c r="C56" s="92"/>
      <c r="D56" s="92"/>
      <c r="E56" s="92"/>
      <c r="F56" s="92"/>
      <c r="G56" s="92">
        <f>'Data Sheet'!G$16</f>
        <v>44286</v>
      </c>
      <c r="H56" s="92">
        <f>'Data Sheet'!H$16</f>
        <v>44651</v>
      </c>
      <c r="I56" s="92">
        <f>'Data Sheet'!I$16</f>
        <v>45016</v>
      </c>
      <c r="J56" s="92">
        <f>'Data Sheet'!J$16</f>
        <v>45382</v>
      </c>
      <c r="K56" s="92">
        <f>'Data Sheet'!K$16</f>
        <v>45747</v>
      </c>
    </row>
    <row r="57" spans="1:12" x14ac:dyDescent="0.3">
      <c r="L57" s="233"/>
    </row>
    <row r="58" spans="1:12" x14ac:dyDescent="0.3">
      <c r="B58" s="110" t="s">
        <v>280</v>
      </c>
      <c r="C58" s="110"/>
      <c r="D58" s="110"/>
      <c r="E58" s="110"/>
      <c r="F58" s="110"/>
      <c r="G58" s="110"/>
      <c r="H58" s="111">
        <f>H51</f>
        <v>1.4492359932088286</v>
      </c>
      <c r="I58" s="111">
        <f t="shared" ref="I58:J58" si="9">I51</f>
        <v>0.1035802747129025</v>
      </c>
      <c r="J58" s="111">
        <f t="shared" si="9"/>
        <v>8.0996884735202487E-2</v>
      </c>
      <c r="K58" s="111">
        <f>K51</f>
        <v>0.10104645737519163</v>
      </c>
      <c r="L58" s="233"/>
    </row>
    <row r="59" spans="1:12" x14ac:dyDescent="0.3">
      <c r="B59" s="112" t="s">
        <v>274</v>
      </c>
      <c r="C59" s="112"/>
      <c r="D59" s="112"/>
      <c r="E59" s="112"/>
      <c r="F59" s="112"/>
      <c r="G59" s="113">
        <f>G37</f>
        <v>0.23132282385195338</v>
      </c>
      <c r="H59" s="113">
        <f>H37</f>
        <v>0.31755445331032994</v>
      </c>
      <c r="I59" s="113">
        <f t="shared" ref="I59:K59" si="10">I37</f>
        <v>0.42323453731058802</v>
      </c>
      <c r="J59" s="113">
        <f t="shared" si="10"/>
        <v>0.38713921552503905</v>
      </c>
      <c r="K59" s="113">
        <f t="shared" si="10"/>
        <v>0.3742423108583402</v>
      </c>
    </row>
    <row r="60" spans="1:12" x14ac:dyDescent="0.3">
      <c r="L60" s="234"/>
    </row>
    <row r="61" spans="1:12" ht="15" thickBot="1" x14ac:dyDescent="0.35">
      <c r="A61" t="s">
        <v>100</v>
      </c>
      <c r="B61" s="114" t="s">
        <v>284</v>
      </c>
      <c r="C61" s="114"/>
      <c r="D61" s="114"/>
      <c r="E61" s="114"/>
      <c r="F61" s="114"/>
      <c r="G61" s="114"/>
      <c r="H61" s="115">
        <f>H58*H59</f>
        <v>0.46021134354108262</v>
      </c>
      <c r="I61" s="115">
        <f t="shared" ref="I61:J61" si="11">I58*I59</f>
        <v>4.3838749642618892E-2</v>
      </c>
      <c r="J61" s="115">
        <f t="shared" si="11"/>
        <v>3.1357070416358303E-2</v>
      </c>
      <c r="K61" s="115">
        <f>K58*K59</f>
        <v>3.7815859712140493E-2</v>
      </c>
    </row>
    <row r="63" spans="1:12" x14ac:dyDescent="0.3">
      <c r="J63" s="108" t="s">
        <v>281</v>
      </c>
      <c r="K63" s="109">
        <f>AVERAGE(H61:K61)</f>
        <v>0.14330575582805008</v>
      </c>
      <c r="L63" s="233"/>
    </row>
    <row r="64" spans="1:12" x14ac:dyDescent="0.3">
      <c r="J64" s="108" t="s">
        <v>282</v>
      </c>
      <c r="K64" s="109">
        <f>MEDIAN(H61:K61)</f>
        <v>4.0827304677379689E-2</v>
      </c>
    </row>
  </sheetData>
  <pageMargins left="0.7" right="0.7" top="0.75" bottom="0.75" header="0.3" footer="0.3"/>
  <pageSetup paperSize="9" scale="70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3C8F-5C8D-4F56-9610-7F3B2486B980}">
  <sheetPr>
    <pageSetUpPr fitToPage="1"/>
  </sheetPr>
  <dimension ref="B1:Z47"/>
  <sheetViews>
    <sheetView showGridLines="0" zoomScale="97" zoomScaleNormal="97" workbookViewId="0">
      <pane ySplit="2" topLeftCell="A3" activePane="bottomLeft" state="frozen"/>
      <selection activeCell="D28" sqref="D28"/>
      <selection pane="bottomLeft" activeCell="F11" sqref="F11"/>
    </sheetView>
  </sheetViews>
  <sheetFormatPr defaultColWidth="8.88671875" defaultRowHeight="14.4" x14ac:dyDescent="0.3"/>
  <cols>
    <col min="1" max="1" width="1.88671875" style="124" customWidth="1"/>
    <col min="2" max="2" width="32.6640625" style="124" customWidth="1"/>
    <col min="3" max="3" width="11.44140625" style="124" bestFit="1" customWidth="1"/>
    <col min="4" max="4" width="9.5546875" style="124" bestFit="1" customWidth="1"/>
    <col min="5" max="5" width="11.44140625" style="124" bestFit="1" customWidth="1"/>
    <col min="6" max="6" width="9.33203125" style="124" bestFit="1" customWidth="1"/>
    <col min="7" max="7" width="29.5546875" style="124" bestFit="1" customWidth="1"/>
    <col min="8" max="8" width="7.88671875" style="124" bestFit="1" customWidth="1"/>
    <col min="9" max="9" width="7.44140625" style="124" bestFit="1" customWidth="1"/>
    <col min="10" max="10" width="9.33203125" style="124" bestFit="1" customWidth="1"/>
    <col min="11" max="11" width="11.6640625" style="124" bestFit="1" customWidth="1"/>
    <col min="12" max="12" width="11.44140625" style="125" customWidth="1"/>
    <col min="13" max="16" width="8.88671875" style="125"/>
    <col min="17" max="16384" width="8.88671875" style="124"/>
  </cols>
  <sheetData>
    <row r="1" spans="2:26" x14ac:dyDescent="0.3"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</row>
    <row r="2" spans="2:26" ht="18" x14ac:dyDescent="0.3">
      <c r="B2" s="190" t="s">
        <v>285</v>
      </c>
      <c r="C2" s="189"/>
      <c r="D2" s="189"/>
      <c r="E2" s="189"/>
      <c r="F2" s="189"/>
      <c r="G2" s="189"/>
      <c r="H2" s="189"/>
      <c r="I2" s="189"/>
      <c r="J2" s="189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</row>
    <row r="3" spans="2:26" x14ac:dyDescent="0.3"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</row>
    <row r="4" spans="2:26" x14ac:dyDescent="0.3">
      <c r="B4" s="171" t="s">
        <v>286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</row>
    <row r="5" spans="2:26" x14ac:dyDescent="0.3"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</row>
    <row r="6" spans="2:26" ht="15" thickBot="1" x14ac:dyDescent="0.35">
      <c r="B6" s="170" t="s">
        <v>287</v>
      </c>
      <c r="C6" s="169"/>
      <c r="D6" s="169"/>
      <c r="E6" s="169"/>
      <c r="F6" s="169"/>
      <c r="G6" s="169"/>
      <c r="H6" s="169"/>
      <c r="I6" s="169"/>
      <c r="J6" s="169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</row>
    <row r="7" spans="2:26" x14ac:dyDescent="0.3">
      <c r="B7" s="132"/>
      <c r="C7" s="132"/>
      <c r="D7" s="132"/>
      <c r="E7" s="132"/>
      <c r="F7" s="132"/>
      <c r="G7" s="142" t="s">
        <v>288</v>
      </c>
      <c r="H7" s="142" t="s">
        <v>288</v>
      </c>
      <c r="I7" s="142" t="s">
        <v>289</v>
      </c>
      <c r="J7" s="142" t="s">
        <v>290</v>
      </c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 spans="2:26" ht="16.8" thickBot="1" x14ac:dyDescent="0.35">
      <c r="B8" s="168" t="s">
        <v>87</v>
      </c>
      <c r="C8" s="168" t="s">
        <v>291</v>
      </c>
      <c r="D8" s="167" t="s">
        <v>292</v>
      </c>
      <c r="E8" s="167" t="s">
        <v>293</v>
      </c>
      <c r="F8" s="166" t="s">
        <v>294</v>
      </c>
      <c r="G8" s="167" t="s">
        <v>295</v>
      </c>
      <c r="H8" s="167" t="s">
        <v>296</v>
      </c>
      <c r="I8" s="166" t="s">
        <v>297</v>
      </c>
      <c r="J8" s="166" t="s">
        <v>298</v>
      </c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</row>
    <row r="9" spans="2:26" x14ac:dyDescent="0.3">
      <c r="B9" s="165"/>
      <c r="C9" s="165"/>
      <c r="D9" s="165"/>
      <c r="E9" s="165"/>
      <c r="F9" s="165"/>
      <c r="G9" s="165"/>
      <c r="H9" s="165"/>
      <c r="I9" s="165"/>
      <c r="J9" s="165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</row>
    <row r="10" spans="2:26" x14ac:dyDescent="0.3">
      <c r="B10" s="199" t="str">
        <f>'Beta - Comps'!C3</f>
        <v>Titan Company</v>
      </c>
      <c r="C10" s="164" t="s">
        <v>299</v>
      </c>
      <c r="D10" s="148">
        <f>'Beta - Comps'!F3</f>
        <v>12465</v>
      </c>
      <c r="E10" s="163">
        <f>'Beta - Comps'!E3</f>
        <v>376912.29</v>
      </c>
      <c r="F10" s="162">
        <v>0.3</v>
      </c>
      <c r="G10" s="161">
        <f>D10/E10</f>
        <v>3.3071354611440236E-2</v>
      </c>
      <c r="H10" s="161">
        <f t="shared" ref="H10:H15" si="0">D10/(D10+E10)</f>
        <v>3.2012652818041852E-2</v>
      </c>
      <c r="I10" s="160">
        <f>'Titan Beta Regression'!J6</f>
        <v>1.195303566874143</v>
      </c>
      <c r="J10" s="159">
        <f t="shared" ref="J10:J15" si="1">I10/(1+(1-F10)*G10)</f>
        <v>1.168258444370043</v>
      </c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</row>
    <row r="11" spans="2:26" x14ac:dyDescent="0.3">
      <c r="B11" s="199" t="str">
        <f>'Beta - Comps'!C4</f>
        <v>Kalyan Jewellers</v>
      </c>
      <c r="C11" s="164" t="s">
        <v>299</v>
      </c>
      <c r="D11" s="148">
        <f>'Beta - Comps'!F4</f>
        <v>5334.96</v>
      </c>
      <c r="E11" s="163">
        <f>'Beta - Comps'!E4</f>
        <v>43400.23</v>
      </c>
      <c r="F11" s="162">
        <v>0.3</v>
      </c>
      <c r="G11" s="161">
        <f>D11/E11</f>
        <v>0.12292469417788798</v>
      </c>
      <c r="H11" s="161">
        <f t="shared" si="0"/>
        <v>0.10946833284121801</v>
      </c>
      <c r="I11" s="160">
        <f>'Kalyan J Regression'!J6</f>
        <v>5.7413536496867361E-2</v>
      </c>
      <c r="J11" s="159">
        <f t="shared" si="1"/>
        <v>5.286467471625126E-2</v>
      </c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</row>
    <row r="12" spans="2:26" x14ac:dyDescent="0.3">
      <c r="B12" s="199" t="str">
        <f>'Beta - Comps'!C5</f>
        <v>Thangamayil Jew.</v>
      </c>
      <c r="C12" s="164" t="s">
        <v>299</v>
      </c>
      <c r="D12" s="148">
        <f>'Beta - Comps'!F5</f>
        <v>1124.3499999999999</v>
      </c>
      <c r="E12" s="163">
        <f>'Beta - Comps'!E5</f>
        <v>11659.68</v>
      </c>
      <c r="F12" s="162">
        <v>0.3</v>
      </c>
      <c r="G12" s="161">
        <f>D12/E12</f>
        <v>9.643060529963085E-2</v>
      </c>
      <c r="H12" s="161">
        <f t="shared" si="0"/>
        <v>8.794957458641757E-2</v>
      </c>
      <c r="I12" s="160">
        <f>'Thangamayil J Regression'!J6</f>
        <v>1.0684007248404475</v>
      </c>
      <c r="J12" s="159">
        <f t="shared" si="1"/>
        <v>1.0008424355328545</v>
      </c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</row>
    <row r="13" spans="2:26" x14ac:dyDescent="0.3">
      <c r="B13" s="199" t="str">
        <f>'Beta - Comps'!C6</f>
        <v>P N Gadgil Jewe.</v>
      </c>
      <c r="C13" s="164" t="s">
        <v>299</v>
      </c>
      <c r="D13" s="148">
        <f>'Beta - Comps'!F6</f>
        <v>1291.1300000000001</v>
      </c>
      <c r="E13" s="163">
        <f>'Beta - Comps'!E6</f>
        <v>7904.82</v>
      </c>
      <c r="F13" s="162">
        <v>0.3</v>
      </c>
      <c r="G13" s="161">
        <f t="shared" ref="G13:G15" si="2">D13/E13</f>
        <v>0.16333452248122035</v>
      </c>
      <c r="H13" s="161">
        <f t="shared" si="0"/>
        <v>0.14040202480439759</v>
      </c>
      <c r="I13" s="160">
        <f>'P N Gadgil J Regression'!J6</f>
        <v>-0.42304575496640601</v>
      </c>
      <c r="J13" s="159">
        <f t="shared" si="1"/>
        <v>-0.37963993923372774</v>
      </c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</row>
    <row r="14" spans="2:26" x14ac:dyDescent="0.3">
      <c r="B14" s="199" t="str">
        <f>'Beta - Comps'!C7</f>
        <v>PC Jeweller</v>
      </c>
      <c r="C14" s="164" t="s">
        <v>299</v>
      </c>
      <c r="D14" s="148">
        <f>'Beta - Comps'!F7</f>
        <v>1594.49</v>
      </c>
      <c r="E14" s="163">
        <f>'Beta - Comps'!E7</f>
        <v>7054.05</v>
      </c>
      <c r="F14" s="162">
        <v>0.3</v>
      </c>
      <c r="G14" s="161">
        <f t="shared" si="2"/>
        <v>0.22603894216797443</v>
      </c>
      <c r="H14" s="161">
        <f t="shared" si="0"/>
        <v>0.18436522233810559</v>
      </c>
      <c r="I14" s="160">
        <f>'PC Jeweller Regression'!J6</f>
        <v>2.5407187517370384</v>
      </c>
      <c r="J14" s="159">
        <f t="shared" si="1"/>
        <v>2.193627140838736</v>
      </c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</row>
    <row r="15" spans="2:26" x14ac:dyDescent="0.3">
      <c r="B15" s="199" t="str">
        <f>'Beta - Comps'!C8</f>
        <v>Bluestone Jewel</v>
      </c>
      <c r="C15" s="164" t="s">
        <v>299</v>
      </c>
      <c r="D15" s="148">
        <f>'Beta - Comps'!F8</f>
        <v>1889.28</v>
      </c>
      <c r="E15" s="163">
        <f>'Beta - Comps'!E8</f>
        <v>6494.97</v>
      </c>
      <c r="F15" s="162">
        <v>0.3</v>
      </c>
      <c r="G15" s="161">
        <f t="shared" si="2"/>
        <v>0.29088356066309773</v>
      </c>
      <c r="H15" s="161">
        <f t="shared" si="0"/>
        <v>0.22533679219966007</v>
      </c>
      <c r="I15" s="160">
        <f>'Bluestone Jewel Regression'!J6</f>
        <v>-1.7078554359138738</v>
      </c>
      <c r="J15" s="159">
        <f t="shared" si="1"/>
        <v>-1.4189341943537117</v>
      </c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</row>
    <row r="16" spans="2:26" x14ac:dyDescent="0.3">
      <c r="B16" s="132"/>
      <c r="C16" s="132"/>
      <c r="D16" s="132"/>
      <c r="E16" s="158" t="s">
        <v>201</v>
      </c>
      <c r="F16" s="157">
        <f>AVERAGE(F10:F15)</f>
        <v>0.3</v>
      </c>
      <c r="G16" s="157">
        <f t="shared" ref="G16:J16" si="3">AVERAGE(G10:G15)</f>
        <v>0.1554472799002086</v>
      </c>
      <c r="H16" s="157">
        <f t="shared" si="3"/>
        <v>0.12992243326464012</v>
      </c>
      <c r="I16" s="157">
        <f>AVERAGE(I10:I15)</f>
        <v>0.45515589817803614</v>
      </c>
      <c r="J16" s="157">
        <f t="shared" si="3"/>
        <v>0.43616976031174087</v>
      </c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</row>
    <row r="17" spans="2:26" x14ac:dyDescent="0.3">
      <c r="B17" s="132"/>
      <c r="C17" s="132"/>
      <c r="D17" s="132"/>
      <c r="E17" s="156" t="s">
        <v>148</v>
      </c>
      <c r="F17" s="155">
        <f>MEDIAN(F10:F15)</f>
        <v>0.3</v>
      </c>
      <c r="G17" s="155">
        <f t="shared" ref="G17:J17" si="4">MEDIAN(G10:G15)</f>
        <v>0.14312960832955418</v>
      </c>
      <c r="H17" s="155">
        <f t="shared" si="4"/>
        <v>0.1249351788228078</v>
      </c>
      <c r="I17" s="155">
        <f t="shared" si="4"/>
        <v>0.56290713066865739</v>
      </c>
      <c r="J17" s="155">
        <f t="shared" si="4"/>
        <v>0.5268535551245529</v>
      </c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</row>
    <row r="18" spans="2:26" x14ac:dyDescent="0.3"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</row>
    <row r="19" spans="2:26" x14ac:dyDescent="0.3"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</row>
    <row r="20" spans="2:26" ht="15" thickBot="1" x14ac:dyDescent="0.35">
      <c r="B20" s="150" t="s">
        <v>300</v>
      </c>
      <c r="C20" s="138"/>
      <c r="D20" s="138"/>
      <c r="E20" s="138"/>
      <c r="F20" s="132"/>
      <c r="G20" s="139" t="s">
        <v>301</v>
      </c>
      <c r="H20" s="138"/>
      <c r="I20" s="138"/>
      <c r="J20" s="138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</row>
    <row r="21" spans="2:26" x14ac:dyDescent="0.3"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</row>
    <row r="22" spans="2:26" x14ac:dyDescent="0.3">
      <c r="B22" s="132" t="s">
        <v>302</v>
      </c>
      <c r="C22" s="132"/>
      <c r="D22" s="132"/>
      <c r="E22" s="147">
        <f>16/712</f>
        <v>2.247191011235955E-2</v>
      </c>
      <c r="F22" s="265">
        <f>HistoricalFS!L21/('Raw FS'!N7+'Raw FS'!N8)</f>
        <v>5.2663572060123787E-2</v>
      </c>
      <c r="G22" s="130" t="s">
        <v>303</v>
      </c>
      <c r="H22" s="132"/>
      <c r="I22" s="132"/>
      <c r="J22" s="154">
        <v>7.0430000000000006E-2</v>
      </c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</row>
    <row r="23" spans="2:26" x14ac:dyDescent="0.3">
      <c r="B23" s="135" t="s">
        <v>242</v>
      </c>
      <c r="C23" s="135"/>
      <c r="D23" s="135"/>
      <c r="E23" s="143">
        <f>F17</f>
        <v>0.3</v>
      </c>
      <c r="F23" s="153">
        <f>E23</f>
        <v>0.3</v>
      </c>
      <c r="G23" s="130" t="s">
        <v>304</v>
      </c>
      <c r="H23" s="132"/>
      <c r="I23" s="132"/>
      <c r="J23" s="153">
        <f>Rm!G7-WACC!J22</f>
        <v>8.1062307692307697E-2</v>
      </c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</row>
    <row r="24" spans="2:26" ht="16.2" x14ac:dyDescent="0.3">
      <c r="B24" s="132" t="s">
        <v>305</v>
      </c>
      <c r="C24" s="132"/>
      <c r="D24" s="132"/>
      <c r="E24" s="133">
        <v>5.8799999999999998E-2</v>
      </c>
      <c r="F24" s="265" t="e" cm="1">
        <f t="array" aca="1" ref="F24" ca="1">F22(1-F23)</f>
        <v>#REF!</v>
      </c>
      <c r="G24" s="136" t="s">
        <v>306</v>
      </c>
      <c r="H24" s="135"/>
      <c r="I24" s="135"/>
      <c r="J24" s="152">
        <f>J33</f>
        <v>0.66130824456421644</v>
      </c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</row>
    <row r="25" spans="2:26" x14ac:dyDescent="0.3">
      <c r="B25" s="132"/>
      <c r="C25" s="132"/>
      <c r="D25" s="132"/>
      <c r="E25" s="132"/>
      <c r="F25" s="132"/>
      <c r="G25" s="130" t="s">
        <v>301</v>
      </c>
      <c r="H25" s="132"/>
      <c r="I25" s="132"/>
      <c r="J25" s="151">
        <f>J22+(J23*J24)</f>
        <v>0.12403717240032439</v>
      </c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</row>
    <row r="26" spans="2:26" x14ac:dyDescent="0.3"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</row>
    <row r="27" spans="2:26" x14ac:dyDescent="0.3"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</row>
    <row r="28" spans="2:26" ht="15" thickBot="1" x14ac:dyDescent="0.35">
      <c r="B28" s="150" t="s">
        <v>307</v>
      </c>
      <c r="C28" s="138"/>
      <c r="D28" s="138"/>
      <c r="E28" s="138"/>
      <c r="F28" s="132"/>
      <c r="G28" s="139" t="s">
        <v>308</v>
      </c>
      <c r="H28" s="138"/>
      <c r="I28" s="138"/>
      <c r="J28" s="138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</row>
    <row r="29" spans="2:26" x14ac:dyDescent="0.3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</row>
    <row r="30" spans="2:26" ht="15" thickBot="1" x14ac:dyDescent="0.35">
      <c r="B30" s="132"/>
      <c r="C30" s="132"/>
      <c r="D30" s="149" t="s">
        <v>309</v>
      </c>
      <c r="E30" s="149" t="s">
        <v>310</v>
      </c>
      <c r="F30" s="132"/>
      <c r="G30" s="130" t="s">
        <v>311</v>
      </c>
      <c r="H30" s="132"/>
      <c r="I30" s="132"/>
      <c r="J30" s="141">
        <f>J17</f>
        <v>0.5268535551245529</v>
      </c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</row>
    <row r="31" spans="2:26" x14ac:dyDescent="0.3">
      <c r="B31" s="132" t="s">
        <v>292</v>
      </c>
      <c r="C31" s="148">
        <f>D10</f>
        <v>12465</v>
      </c>
      <c r="D31" s="146">
        <f>C31/$C$33</f>
        <v>3.2012652818041852E-2</v>
      </c>
      <c r="E31" s="147">
        <f>H16</f>
        <v>0.12992243326464012</v>
      </c>
      <c r="F31" s="132"/>
      <c r="G31" s="130" t="s">
        <v>312</v>
      </c>
      <c r="H31" s="132"/>
      <c r="I31" s="132"/>
      <c r="J31" s="146">
        <f>E35</f>
        <v>0.14932281698989824</v>
      </c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</row>
    <row r="32" spans="2:26" x14ac:dyDescent="0.3">
      <c r="B32" s="132" t="s">
        <v>313</v>
      </c>
      <c r="C32" s="145">
        <f>E10</f>
        <v>376912.29</v>
      </c>
      <c r="D32" s="144">
        <f>D33-D31</f>
        <v>0.96798734718195811</v>
      </c>
      <c r="E32" s="144">
        <f>E33-E31</f>
        <v>0.87007756673535985</v>
      </c>
      <c r="F32" s="132"/>
      <c r="G32" s="135" t="s">
        <v>242</v>
      </c>
      <c r="H32" s="135"/>
      <c r="I32" s="135"/>
      <c r="J32" s="143">
        <f>F17</f>
        <v>0.3</v>
      </c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</row>
    <row r="33" spans="2:26" x14ac:dyDescent="0.3">
      <c r="B33" s="132" t="s">
        <v>314</v>
      </c>
      <c r="C33" s="142">
        <f>SUM(C31:C32)</f>
        <v>389377.29</v>
      </c>
      <c r="D33" s="137">
        <v>1</v>
      </c>
      <c r="E33" s="137">
        <v>1</v>
      </c>
      <c r="F33" s="132"/>
      <c r="G33" s="130" t="s">
        <v>308</v>
      </c>
      <c r="H33" s="132"/>
      <c r="I33" s="132"/>
      <c r="J33" s="141">
        <f>J30*(1+(1-J31)*J32)</f>
        <v>0.66130824456421644</v>
      </c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</row>
    <row r="34" spans="2:26" x14ac:dyDescent="0.3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</row>
    <row r="35" spans="2:26" ht="15" thickBot="1" x14ac:dyDescent="0.35">
      <c r="B35" s="132" t="s">
        <v>315</v>
      </c>
      <c r="C35" s="132"/>
      <c r="D35" s="140">
        <f>D31/D32</f>
        <v>3.3071354611440236E-2</v>
      </c>
      <c r="E35" s="140">
        <f>E31/E32</f>
        <v>0.14932281698989824</v>
      </c>
      <c r="F35" s="132"/>
      <c r="G35" s="139" t="s">
        <v>285</v>
      </c>
      <c r="H35" s="138"/>
      <c r="I35" s="138"/>
      <c r="J35" s="138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</row>
    <row r="36" spans="2:26" x14ac:dyDescent="0.3"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</row>
    <row r="37" spans="2:26" x14ac:dyDescent="0.3">
      <c r="B37" s="131" t="s">
        <v>316</v>
      </c>
      <c r="C37" s="132"/>
      <c r="D37" s="132"/>
      <c r="E37" s="132"/>
      <c r="F37" s="132"/>
      <c r="G37" s="130" t="s">
        <v>317</v>
      </c>
      <c r="H37" s="132"/>
      <c r="I37" s="132"/>
      <c r="J37" s="137">
        <v>8.4000000000000005E-2</v>
      </c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</row>
    <row r="38" spans="2:26" x14ac:dyDescent="0.3">
      <c r="B38" s="131" t="s">
        <v>318</v>
      </c>
      <c r="C38" s="132"/>
      <c r="D38" s="132"/>
      <c r="E38" s="132"/>
      <c r="F38" s="132"/>
      <c r="G38" s="136" t="s">
        <v>319</v>
      </c>
      <c r="H38" s="135"/>
      <c r="I38" s="135"/>
      <c r="J38" s="134">
        <v>0.3</v>
      </c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</row>
    <row r="39" spans="2:26" x14ac:dyDescent="0.3">
      <c r="B39" s="131" t="s">
        <v>320</v>
      </c>
      <c r="C39" s="132"/>
      <c r="D39" s="132"/>
      <c r="E39" s="132"/>
      <c r="F39" s="132"/>
      <c r="G39" s="130" t="s">
        <v>305</v>
      </c>
      <c r="H39" s="132"/>
      <c r="I39" s="132"/>
      <c r="J39" s="133">
        <v>5.8799999999999998E-2</v>
      </c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</row>
    <row r="40" spans="2:26" x14ac:dyDescent="0.3">
      <c r="B40" s="131" t="s">
        <v>321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</row>
    <row r="41" spans="2:26" x14ac:dyDescent="0.3">
      <c r="B41" s="131" t="s">
        <v>322</v>
      </c>
      <c r="G41" s="130" t="s">
        <v>301</v>
      </c>
      <c r="J41" s="129">
        <f>J25</f>
        <v>0.12403717240032439</v>
      </c>
    </row>
    <row r="42" spans="2:26" x14ac:dyDescent="0.3">
      <c r="G42" s="130" t="s">
        <v>323</v>
      </c>
      <c r="J42" s="129">
        <f>E32</f>
        <v>0.87007756673535985</v>
      </c>
    </row>
    <row r="44" spans="2:26" x14ac:dyDescent="0.3">
      <c r="G44" s="130" t="s">
        <v>300</v>
      </c>
      <c r="J44" s="129">
        <f>E24</f>
        <v>5.8799999999999998E-2</v>
      </c>
    </row>
    <row r="45" spans="2:26" x14ac:dyDescent="0.3">
      <c r="G45" s="130" t="s">
        <v>324</v>
      </c>
      <c r="J45" s="129">
        <f>E31</f>
        <v>0.12992243326464012</v>
      </c>
    </row>
    <row r="47" spans="2:26" x14ac:dyDescent="0.3">
      <c r="G47" s="128" t="s">
        <v>251</v>
      </c>
      <c r="H47" s="127"/>
      <c r="I47" s="127"/>
      <c r="J47" s="126">
        <f>(J41*J42)+(J44*J45)</f>
        <v>0.11556140022276941</v>
      </c>
    </row>
  </sheetData>
  <pageMargins left="0.7" right="0.7" top="0.75" bottom="0.75" header="0.3" footer="0.3"/>
  <pageSetup paperSize="9" scale="67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46A1B-5889-4F1C-9134-651B70B98CCA}">
  <dimension ref="A1:AE83"/>
  <sheetViews>
    <sheetView showGridLines="0" zoomScale="59" zoomScaleNormal="86" workbookViewId="0">
      <pane ySplit="2" topLeftCell="A3" activePane="bottomLeft" state="frozen"/>
      <selection pane="bottomLeft" activeCell="O23" sqref="O23"/>
    </sheetView>
  </sheetViews>
  <sheetFormatPr defaultColWidth="8.88671875" defaultRowHeight="14.4" x14ac:dyDescent="0.3"/>
  <cols>
    <col min="1" max="1" width="1.6640625" style="74" customWidth="1"/>
    <col min="2" max="2" width="26.6640625" style="74" bestFit="1" customWidth="1"/>
    <col min="3" max="13" width="13.6640625" style="74" bestFit="1" customWidth="1"/>
    <col min="14" max="14" width="10.6640625" style="74" bestFit="1" customWidth="1"/>
    <col min="15" max="15" width="8.88671875" style="74"/>
    <col min="16" max="16" width="27.5546875" style="74" bestFit="1" customWidth="1"/>
    <col min="17" max="16384" width="8.88671875" style="74"/>
  </cols>
  <sheetData>
    <row r="1" spans="1:29" x14ac:dyDescent="0.3">
      <c r="A1" s="73"/>
    </row>
    <row r="2" spans="1:29" x14ac:dyDescent="0.3">
      <c r="B2" s="75" t="s">
        <v>325</v>
      </c>
      <c r="C2" s="76">
        <v>41699</v>
      </c>
      <c r="D2" s="76">
        <v>42064</v>
      </c>
      <c r="E2" s="76">
        <v>42430</v>
      </c>
      <c r="F2" s="76">
        <v>42795</v>
      </c>
      <c r="G2" s="76">
        <v>43160</v>
      </c>
      <c r="H2" s="76">
        <v>43525</v>
      </c>
      <c r="I2" s="76">
        <v>43891</v>
      </c>
      <c r="J2" s="76">
        <v>44256</v>
      </c>
      <c r="K2" s="76">
        <v>44621</v>
      </c>
      <c r="L2" s="76">
        <v>44986</v>
      </c>
      <c r="M2" s="76">
        <v>45352</v>
      </c>
      <c r="N2" s="76">
        <v>45717</v>
      </c>
    </row>
    <row r="3" spans="1:29" x14ac:dyDescent="0.3">
      <c r="B3" s="77" t="s">
        <v>124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</row>
    <row r="4" spans="1:29" x14ac:dyDescent="0.3">
      <c r="B4" s="77" t="s">
        <v>319</v>
      </c>
      <c r="C4" s="79">
        <v>89</v>
      </c>
      <c r="D4" s="79">
        <v>89</v>
      </c>
      <c r="E4" s="79">
        <v>89</v>
      </c>
      <c r="F4" s="79">
        <v>89</v>
      </c>
      <c r="G4" s="79">
        <v>89</v>
      </c>
      <c r="H4" s="79">
        <v>89</v>
      </c>
      <c r="I4" s="79">
        <v>89</v>
      </c>
      <c r="J4" s="79">
        <v>89</v>
      </c>
      <c r="K4" s="79">
        <v>89</v>
      </c>
      <c r="L4" s="79">
        <v>89</v>
      </c>
      <c r="M4" s="79">
        <v>89</v>
      </c>
      <c r="N4" s="79">
        <v>89</v>
      </c>
    </row>
    <row r="5" spans="1:29" x14ac:dyDescent="0.3">
      <c r="B5" s="77" t="s">
        <v>126</v>
      </c>
      <c r="C5" s="79">
        <v>2434</v>
      </c>
      <c r="D5" s="79">
        <v>2995</v>
      </c>
      <c r="E5" s="79">
        <v>3418</v>
      </c>
      <c r="F5" s="79">
        <v>4144</v>
      </c>
      <c r="G5" s="79">
        <v>5001</v>
      </c>
      <c r="H5" s="79">
        <v>5981</v>
      </c>
      <c r="I5" s="79">
        <v>6580</v>
      </c>
      <c r="J5" s="79">
        <v>7408</v>
      </c>
      <c r="K5" s="79">
        <v>9214</v>
      </c>
      <c r="L5" s="79">
        <v>11762</v>
      </c>
      <c r="M5" s="79">
        <v>9304</v>
      </c>
      <c r="N5" s="79">
        <v>11535</v>
      </c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</row>
    <row r="6" spans="1:29" x14ac:dyDescent="0.3">
      <c r="B6" s="77" t="s">
        <v>326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T6" s="83"/>
      <c r="U6" s="83"/>
      <c r="V6" s="83"/>
      <c r="W6" s="83"/>
      <c r="X6" s="83"/>
      <c r="Y6" s="83"/>
      <c r="Z6" s="83"/>
      <c r="AA6" s="83"/>
      <c r="AB6" s="83"/>
      <c r="AC6" s="83"/>
    </row>
    <row r="7" spans="1:29" x14ac:dyDescent="0.3">
      <c r="B7" s="74" t="s">
        <v>327</v>
      </c>
      <c r="C7" s="79">
        <v>0</v>
      </c>
      <c r="D7" s="79">
        <v>0</v>
      </c>
      <c r="E7" s="79">
        <v>0</v>
      </c>
      <c r="F7" s="79">
        <v>0</v>
      </c>
      <c r="G7" s="79">
        <v>0</v>
      </c>
      <c r="H7" s="79">
        <v>32</v>
      </c>
      <c r="I7" s="79">
        <v>17</v>
      </c>
      <c r="J7" s="79">
        <v>9</v>
      </c>
      <c r="K7" s="79">
        <v>2</v>
      </c>
      <c r="L7" s="79">
        <v>0</v>
      </c>
      <c r="M7" s="79">
        <v>3302</v>
      </c>
      <c r="N7" s="79">
        <v>595</v>
      </c>
      <c r="AA7" s="83"/>
    </row>
    <row r="8" spans="1:29" x14ac:dyDescent="0.3">
      <c r="B8" s="74" t="s">
        <v>328</v>
      </c>
      <c r="C8" s="79">
        <v>807</v>
      </c>
      <c r="D8" s="79">
        <v>100</v>
      </c>
      <c r="E8" s="79">
        <v>113</v>
      </c>
      <c r="F8" s="79">
        <v>1882</v>
      </c>
      <c r="G8" s="79">
        <v>1691</v>
      </c>
      <c r="H8" s="79">
        <v>2353</v>
      </c>
      <c r="I8" s="79">
        <v>2291</v>
      </c>
      <c r="J8" s="79">
        <v>4367</v>
      </c>
      <c r="K8" s="79">
        <v>5914</v>
      </c>
      <c r="L8" s="79">
        <v>7494</v>
      </c>
      <c r="M8" s="79">
        <v>9877</v>
      </c>
      <c r="N8" s="79">
        <v>17501</v>
      </c>
      <c r="T8" s="83"/>
      <c r="U8" s="83"/>
      <c r="V8" s="83"/>
      <c r="W8" s="83"/>
      <c r="X8" s="83"/>
      <c r="Y8" s="83"/>
      <c r="Z8" s="83"/>
      <c r="AA8" s="83"/>
      <c r="AB8" s="83"/>
      <c r="AC8" s="83"/>
    </row>
    <row r="9" spans="1:29" x14ac:dyDescent="0.3">
      <c r="B9" s="74" t="s">
        <v>329</v>
      </c>
      <c r="C9" s="79">
        <v>0</v>
      </c>
      <c r="D9" s="79">
        <v>0</v>
      </c>
      <c r="E9" s="79">
        <v>0</v>
      </c>
      <c r="F9" s="79">
        <v>0</v>
      </c>
      <c r="G9" s="79">
        <v>0</v>
      </c>
      <c r="H9" s="79">
        <v>0</v>
      </c>
      <c r="I9" s="79">
        <v>1243</v>
      </c>
      <c r="J9" s="79">
        <v>1256</v>
      </c>
      <c r="K9" s="79">
        <v>1359</v>
      </c>
      <c r="L9" s="79">
        <v>1873</v>
      </c>
      <c r="M9" s="79">
        <v>2349</v>
      </c>
      <c r="N9" s="79">
        <v>2681</v>
      </c>
      <c r="W9" s="83"/>
      <c r="X9" s="83"/>
      <c r="Y9" s="83"/>
      <c r="Z9" s="83"/>
      <c r="AA9" s="83"/>
      <c r="AB9" s="83"/>
      <c r="AC9" s="83"/>
    </row>
    <row r="10" spans="1:29" x14ac:dyDescent="0.3">
      <c r="B10" s="74" t="s">
        <v>330</v>
      </c>
      <c r="C10" s="79">
        <v>0</v>
      </c>
      <c r="D10" s="79">
        <v>0</v>
      </c>
      <c r="E10" s="79">
        <v>0</v>
      </c>
      <c r="F10" s="79">
        <v>0</v>
      </c>
      <c r="G10" s="79">
        <v>0</v>
      </c>
      <c r="H10" s="79">
        <v>8</v>
      </c>
      <c r="I10" s="79">
        <v>11</v>
      </c>
      <c r="J10" s="79">
        <v>6</v>
      </c>
      <c r="K10" s="79">
        <v>0</v>
      </c>
      <c r="L10" s="79">
        <v>0</v>
      </c>
      <c r="M10" s="79">
        <v>0</v>
      </c>
      <c r="N10" s="79">
        <v>0</v>
      </c>
    </row>
    <row r="11" spans="1:29" x14ac:dyDescent="0.3">
      <c r="B11" s="77" t="s">
        <v>331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</row>
    <row r="12" spans="1:29" x14ac:dyDescent="0.3">
      <c r="B12" s="74" t="s">
        <v>332</v>
      </c>
      <c r="C12" s="79">
        <v>0</v>
      </c>
      <c r="D12" s="79">
        <v>0</v>
      </c>
      <c r="E12" s="79">
        <v>0</v>
      </c>
      <c r="F12" s="79">
        <v>26</v>
      </c>
      <c r="G12" s="79">
        <v>-2</v>
      </c>
      <c r="H12" s="79">
        <v>14</v>
      </c>
      <c r="I12" s="79">
        <v>4</v>
      </c>
      <c r="J12" s="79">
        <v>5</v>
      </c>
      <c r="K12" s="79">
        <v>30</v>
      </c>
      <c r="L12" s="79">
        <v>53</v>
      </c>
      <c r="M12" s="79">
        <v>0</v>
      </c>
      <c r="N12" s="79">
        <v>0</v>
      </c>
    </row>
    <row r="13" spans="1:29" x14ac:dyDescent="0.3">
      <c r="B13" s="74" t="s">
        <v>333</v>
      </c>
      <c r="C13" s="79">
        <v>859</v>
      </c>
      <c r="D13" s="79">
        <v>1940</v>
      </c>
      <c r="E13" s="79">
        <v>1655</v>
      </c>
      <c r="F13" s="79">
        <v>783</v>
      </c>
      <c r="G13" s="79">
        <v>878</v>
      </c>
      <c r="H13" s="79">
        <v>906</v>
      </c>
      <c r="I13" s="79">
        <v>596</v>
      </c>
      <c r="J13" s="79">
        <v>789</v>
      </c>
      <c r="K13" s="79">
        <v>1294</v>
      </c>
      <c r="L13" s="79">
        <v>1214</v>
      </c>
      <c r="M13" s="79">
        <v>1410</v>
      </c>
      <c r="N13" s="79">
        <v>1963</v>
      </c>
      <c r="R13" s="83"/>
      <c r="S13" s="83"/>
      <c r="Y13" s="83"/>
      <c r="Z13" s="83"/>
      <c r="AA13" s="83"/>
      <c r="AB13" s="83"/>
      <c r="AC13" s="83"/>
    </row>
    <row r="14" spans="1:29" x14ac:dyDescent="0.3">
      <c r="B14" s="74" t="s">
        <v>334</v>
      </c>
      <c r="C14" s="80">
        <v>1418</v>
      </c>
      <c r="D14" s="80">
        <v>160</v>
      </c>
      <c r="E14" s="80">
        <v>710</v>
      </c>
      <c r="F14" s="80">
        <v>943</v>
      </c>
      <c r="G14" s="80">
        <v>233</v>
      </c>
      <c r="H14" s="80">
        <v>290</v>
      </c>
      <c r="I14" s="80">
        <v>386</v>
      </c>
      <c r="J14" s="80">
        <v>479</v>
      </c>
      <c r="K14" s="80">
        <v>532</v>
      </c>
      <c r="L14" s="80">
        <v>718</v>
      </c>
      <c r="M14" s="80">
        <v>1085</v>
      </c>
      <c r="N14" s="80">
        <v>2140</v>
      </c>
      <c r="Q14" s="83"/>
      <c r="AA14" s="83"/>
      <c r="AB14" s="83"/>
    </row>
    <row r="15" spans="1:29" x14ac:dyDescent="0.3">
      <c r="B15" s="74" t="s">
        <v>335</v>
      </c>
      <c r="C15" s="80">
        <v>504</v>
      </c>
      <c r="D15" s="80">
        <v>585</v>
      </c>
      <c r="E15" s="80">
        <v>358</v>
      </c>
      <c r="F15" s="80">
        <v>541</v>
      </c>
      <c r="G15" s="80">
        <v>1631</v>
      </c>
      <c r="H15" s="80">
        <v>2037</v>
      </c>
      <c r="I15" s="80">
        <v>2327</v>
      </c>
      <c r="J15" s="80">
        <v>2036</v>
      </c>
      <c r="K15" s="80">
        <v>2754</v>
      </c>
      <c r="L15" s="80">
        <v>3817</v>
      </c>
      <c r="M15" s="80">
        <v>4131</v>
      </c>
      <c r="N15" s="80">
        <v>4141</v>
      </c>
      <c r="U15" s="83"/>
      <c r="V15" s="83"/>
      <c r="W15" s="83"/>
      <c r="X15" s="83"/>
      <c r="Y15" s="83"/>
      <c r="Z15" s="83"/>
      <c r="AA15" s="83"/>
      <c r="AB15" s="83"/>
      <c r="AC15" s="83"/>
    </row>
    <row r="16" spans="1:29" x14ac:dyDescent="0.3">
      <c r="B16" s="81" t="s">
        <v>129</v>
      </c>
      <c r="C16" s="82">
        <v>6111</v>
      </c>
      <c r="D16" s="82">
        <v>5868</v>
      </c>
      <c r="E16" s="82">
        <v>6342</v>
      </c>
      <c r="F16" s="82">
        <v>8408</v>
      </c>
      <c r="G16" s="82">
        <v>9521</v>
      </c>
      <c r="H16" s="82">
        <v>11710</v>
      </c>
      <c r="I16" s="82">
        <v>13544</v>
      </c>
      <c r="J16" s="82">
        <v>16444</v>
      </c>
      <c r="K16" s="82">
        <v>21188</v>
      </c>
      <c r="L16" s="82">
        <v>27020</v>
      </c>
      <c r="M16" s="82">
        <v>31547</v>
      </c>
      <c r="N16" s="82">
        <v>40645</v>
      </c>
      <c r="P16" s="264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</row>
    <row r="17" spans="2:29" x14ac:dyDescent="0.3"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</row>
    <row r="18" spans="2:29" x14ac:dyDescent="0.3">
      <c r="B18" s="77" t="s">
        <v>336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2:29" x14ac:dyDescent="0.3">
      <c r="B19" s="74" t="s">
        <v>337</v>
      </c>
      <c r="C19" s="79">
        <v>95</v>
      </c>
      <c r="D19" s="79">
        <v>104</v>
      </c>
      <c r="E19" s="79">
        <v>85</v>
      </c>
      <c r="F19" s="79">
        <v>85</v>
      </c>
      <c r="G19" s="79">
        <v>85</v>
      </c>
      <c r="H19" s="79">
        <v>85</v>
      </c>
      <c r="I19" s="79">
        <v>108</v>
      </c>
      <c r="J19" s="79">
        <v>108</v>
      </c>
      <c r="K19" s="79">
        <v>136</v>
      </c>
      <c r="L19" s="79">
        <v>144</v>
      </c>
      <c r="M19" s="79">
        <v>163</v>
      </c>
      <c r="N19" s="79">
        <v>163</v>
      </c>
      <c r="W19" s="83"/>
      <c r="X19" s="83"/>
      <c r="Y19" s="83"/>
      <c r="Z19" s="83"/>
      <c r="AA19" s="83"/>
      <c r="AB19" s="83"/>
    </row>
    <row r="20" spans="2:29" x14ac:dyDescent="0.3">
      <c r="B20" s="74" t="s">
        <v>338</v>
      </c>
      <c r="C20" s="79">
        <v>121</v>
      </c>
      <c r="D20" s="79">
        <v>156</v>
      </c>
      <c r="E20" s="79">
        <v>137</v>
      </c>
      <c r="F20" s="79">
        <v>198</v>
      </c>
      <c r="G20" s="79">
        <v>341</v>
      </c>
      <c r="H20" s="79">
        <v>386</v>
      </c>
      <c r="I20" s="79">
        <v>1473</v>
      </c>
      <c r="J20" s="79">
        <v>1617</v>
      </c>
      <c r="K20" s="79">
        <v>1853</v>
      </c>
      <c r="L20" s="79">
        <v>2403</v>
      </c>
      <c r="M20" s="79">
        <v>3546</v>
      </c>
      <c r="N20" s="79">
        <v>4177</v>
      </c>
      <c r="AB20" s="83"/>
    </row>
    <row r="21" spans="2:29" x14ac:dyDescent="0.3">
      <c r="B21" s="74" t="s">
        <v>339</v>
      </c>
      <c r="C21" s="79">
        <v>632</v>
      </c>
      <c r="D21" s="79">
        <v>719</v>
      </c>
      <c r="E21" s="79">
        <v>445</v>
      </c>
      <c r="F21" s="79">
        <v>473</v>
      </c>
      <c r="G21" s="79">
        <v>563</v>
      </c>
      <c r="H21" s="79">
        <v>630</v>
      </c>
      <c r="I21" s="79">
        <v>724</v>
      </c>
      <c r="J21" s="79">
        <v>739</v>
      </c>
      <c r="K21" s="79">
        <v>768</v>
      </c>
      <c r="L21" s="79">
        <v>838</v>
      </c>
      <c r="M21" s="79">
        <v>899</v>
      </c>
      <c r="N21" s="79">
        <v>1012</v>
      </c>
    </row>
    <row r="22" spans="2:29" x14ac:dyDescent="0.3">
      <c r="B22" s="74" t="s">
        <v>340</v>
      </c>
      <c r="C22" s="79">
        <v>23</v>
      </c>
      <c r="D22" s="79">
        <v>24</v>
      </c>
      <c r="E22" s="79">
        <v>18</v>
      </c>
      <c r="F22" s="79">
        <v>24</v>
      </c>
      <c r="G22" s="79">
        <v>34</v>
      </c>
      <c r="H22" s="79">
        <v>50</v>
      </c>
      <c r="I22" s="79">
        <v>70</v>
      </c>
      <c r="J22" s="79">
        <v>76</v>
      </c>
      <c r="K22" s="79">
        <v>96</v>
      </c>
      <c r="L22" s="79">
        <v>130</v>
      </c>
      <c r="M22" s="79">
        <v>110</v>
      </c>
      <c r="N22" s="79">
        <v>127</v>
      </c>
    </row>
    <row r="23" spans="2:29" x14ac:dyDescent="0.3">
      <c r="B23" s="264" t="s">
        <v>341</v>
      </c>
      <c r="C23" s="79">
        <v>0</v>
      </c>
      <c r="D23" s="79">
        <v>0</v>
      </c>
      <c r="E23" s="79">
        <v>0</v>
      </c>
      <c r="F23" s="79">
        <v>46</v>
      </c>
      <c r="G23" s="79">
        <v>72</v>
      </c>
      <c r="H23" s="79">
        <v>92</v>
      </c>
      <c r="I23" s="79">
        <v>119</v>
      </c>
      <c r="J23" s="79">
        <v>142</v>
      </c>
      <c r="K23" s="79">
        <v>159</v>
      </c>
      <c r="L23" s="79">
        <v>204</v>
      </c>
      <c r="M23" s="79">
        <v>212</v>
      </c>
      <c r="N23" s="79">
        <v>228</v>
      </c>
    </row>
    <row r="24" spans="2:29" x14ac:dyDescent="0.3">
      <c r="B24" s="74" t="s">
        <v>342</v>
      </c>
      <c r="C24" s="79">
        <v>174</v>
      </c>
      <c r="D24" s="79">
        <v>189</v>
      </c>
      <c r="E24" s="79">
        <v>107</v>
      </c>
      <c r="F24" s="79">
        <v>138</v>
      </c>
      <c r="G24" s="79">
        <v>203</v>
      </c>
      <c r="H24" s="79">
        <v>251</v>
      </c>
      <c r="I24" s="79">
        <v>313</v>
      </c>
      <c r="J24" s="79">
        <v>309</v>
      </c>
      <c r="K24" s="79">
        <v>321</v>
      </c>
      <c r="L24" s="79">
        <v>376</v>
      </c>
      <c r="M24" s="79">
        <v>173</v>
      </c>
      <c r="N24" s="79">
        <v>193</v>
      </c>
    </row>
    <row r="25" spans="2:29" x14ac:dyDescent="0.3">
      <c r="B25" s="74" t="s">
        <v>343</v>
      </c>
      <c r="C25" s="79">
        <v>14</v>
      </c>
      <c r="D25" s="79">
        <v>17</v>
      </c>
      <c r="E25" s="79">
        <v>11</v>
      </c>
      <c r="F25" s="79">
        <v>10</v>
      </c>
      <c r="G25" s="79">
        <v>16</v>
      </c>
      <c r="H25" s="79">
        <v>22</v>
      </c>
      <c r="I25" s="79">
        <v>28</v>
      </c>
      <c r="J25" s="79">
        <v>30</v>
      </c>
      <c r="K25" s="79">
        <v>38</v>
      </c>
      <c r="L25" s="79">
        <v>40</v>
      </c>
      <c r="M25" s="79">
        <v>50</v>
      </c>
      <c r="N25" s="79">
        <v>57</v>
      </c>
    </row>
    <row r="26" spans="2:29" x14ac:dyDescent="0.3">
      <c r="B26" s="74" t="s">
        <v>344</v>
      </c>
      <c r="C26" s="79">
        <v>0</v>
      </c>
      <c r="D26" s="79">
        <v>0</v>
      </c>
      <c r="E26" s="79">
        <v>13</v>
      </c>
      <c r="F26" s="79">
        <v>318</v>
      </c>
      <c r="G26" s="79">
        <v>319</v>
      </c>
      <c r="H26" s="79">
        <v>319</v>
      </c>
      <c r="I26" s="79">
        <v>333</v>
      </c>
      <c r="J26" s="79">
        <v>320</v>
      </c>
      <c r="K26" s="79">
        <v>320</v>
      </c>
      <c r="L26" s="79">
        <v>320</v>
      </c>
      <c r="M26" s="79">
        <v>320</v>
      </c>
      <c r="N26" s="79">
        <v>320</v>
      </c>
    </row>
    <row r="27" spans="2:29" x14ac:dyDescent="0.3">
      <c r="B27" s="74" t="s">
        <v>345</v>
      </c>
      <c r="C27" s="79">
        <v>73</v>
      </c>
      <c r="D27" s="79">
        <v>73</v>
      </c>
      <c r="E27" s="79">
        <v>20</v>
      </c>
      <c r="F27" s="79">
        <v>26</v>
      </c>
      <c r="G27" s="79">
        <v>69</v>
      </c>
      <c r="H27" s="79">
        <v>96</v>
      </c>
      <c r="I27" s="79">
        <v>135</v>
      </c>
      <c r="J27" s="79">
        <v>158</v>
      </c>
      <c r="K27" s="79">
        <v>157</v>
      </c>
      <c r="L27" s="79">
        <v>205</v>
      </c>
      <c r="M27" s="79">
        <v>305</v>
      </c>
      <c r="N27" s="79">
        <v>369</v>
      </c>
      <c r="Q27" s="83"/>
      <c r="R27" s="83"/>
      <c r="T27" s="83"/>
      <c r="U27" s="83"/>
      <c r="V27" s="83"/>
      <c r="W27" s="83"/>
      <c r="X27" s="83"/>
      <c r="Y27" s="83"/>
      <c r="Z27" s="83"/>
      <c r="AA27" s="83"/>
      <c r="AB27" s="83"/>
    </row>
    <row r="28" spans="2:29" x14ac:dyDescent="0.3">
      <c r="B28" s="77" t="s">
        <v>271</v>
      </c>
      <c r="C28" s="84">
        <v>1132</v>
      </c>
      <c r="D28" s="84">
        <v>1282</v>
      </c>
      <c r="E28" s="84">
        <v>836</v>
      </c>
      <c r="F28" s="84">
        <v>1318</v>
      </c>
      <c r="G28" s="84">
        <v>1704</v>
      </c>
      <c r="H28" s="84">
        <v>1931</v>
      </c>
      <c r="I28" s="84">
        <v>3303</v>
      </c>
      <c r="J28" s="84">
        <v>3499</v>
      </c>
      <c r="K28" s="84">
        <v>3848</v>
      </c>
      <c r="L28" s="84">
        <v>4660</v>
      </c>
      <c r="M28" s="84">
        <v>5778</v>
      </c>
      <c r="N28" s="84">
        <v>6646</v>
      </c>
      <c r="Y28" s="83"/>
      <c r="Z28" s="83"/>
      <c r="AA28" s="83"/>
      <c r="AB28" s="83"/>
    </row>
    <row r="29" spans="2:29" x14ac:dyDescent="0.3">
      <c r="B29" s="85" t="s">
        <v>346</v>
      </c>
      <c r="C29" s="86">
        <v>518</v>
      </c>
      <c r="D29" s="86">
        <v>583</v>
      </c>
      <c r="E29" s="86">
        <v>66</v>
      </c>
      <c r="F29" s="86">
        <v>130</v>
      </c>
      <c r="G29" s="86">
        <v>230</v>
      </c>
      <c r="H29" s="86">
        <v>365</v>
      </c>
      <c r="I29" s="86">
        <v>670</v>
      </c>
      <c r="J29" s="86">
        <v>976</v>
      </c>
      <c r="K29" s="86">
        <v>1304</v>
      </c>
      <c r="L29" s="86">
        <v>1662</v>
      </c>
      <c r="M29" s="86">
        <v>2069</v>
      </c>
      <c r="N29" s="86">
        <v>2584</v>
      </c>
      <c r="O29" s="87"/>
    </row>
    <row r="30" spans="2:29" x14ac:dyDescent="0.3">
      <c r="B30" s="77" t="s">
        <v>347</v>
      </c>
      <c r="C30" s="87">
        <f>C28-C29</f>
        <v>614</v>
      </c>
      <c r="D30" s="87">
        <f t="shared" ref="D30:N30" si="0">D28-D29</f>
        <v>699</v>
      </c>
      <c r="E30" s="87">
        <f t="shared" si="0"/>
        <v>770</v>
      </c>
      <c r="F30" s="87">
        <f t="shared" si="0"/>
        <v>1188</v>
      </c>
      <c r="G30" s="87">
        <f t="shared" si="0"/>
        <v>1474</v>
      </c>
      <c r="H30" s="87">
        <f t="shared" si="0"/>
        <v>1566</v>
      </c>
      <c r="I30" s="87">
        <f t="shared" si="0"/>
        <v>2633</v>
      </c>
      <c r="J30" s="87">
        <f t="shared" si="0"/>
        <v>2523</v>
      </c>
      <c r="K30" s="87">
        <f t="shared" si="0"/>
        <v>2544</v>
      </c>
      <c r="L30" s="87">
        <f t="shared" si="0"/>
        <v>2998</v>
      </c>
      <c r="M30" s="87">
        <f t="shared" si="0"/>
        <v>3709</v>
      </c>
      <c r="N30" s="87">
        <f t="shared" si="0"/>
        <v>4062</v>
      </c>
      <c r="O30" s="87"/>
      <c r="X30" s="83"/>
      <c r="Z30" s="83"/>
      <c r="AA30" s="83"/>
      <c r="AB30" s="83"/>
      <c r="AC30" s="83"/>
    </row>
    <row r="31" spans="2:29" x14ac:dyDescent="0.3">
      <c r="B31" s="7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</row>
    <row r="32" spans="2:29" x14ac:dyDescent="0.3">
      <c r="B32" s="77" t="s">
        <v>348</v>
      </c>
      <c r="C32" s="88">
        <v>33</v>
      </c>
      <c r="D32" s="88">
        <v>55</v>
      </c>
      <c r="E32" s="88">
        <v>107</v>
      </c>
      <c r="F32" s="88">
        <v>152</v>
      </c>
      <c r="G32" s="88">
        <v>43</v>
      </c>
      <c r="H32" s="88">
        <v>32</v>
      </c>
      <c r="I32" s="88">
        <v>18</v>
      </c>
      <c r="J32" s="88">
        <v>32</v>
      </c>
      <c r="K32" s="88">
        <v>85</v>
      </c>
      <c r="L32" s="88">
        <v>144</v>
      </c>
      <c r="M32" s="88">
        <v>97</v>
      </c>
      <c r="N32" s="88">
        <v>105</v>
      </c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</row>
    <row r="33" spans="2:31" x14ac:dyDescent="0.3">
      <c r="B33" s="77" t="s">
        <v>132</v>
      </c>
      <c r="C33" s="79">
        <v>3</v>
      </c>
      <c r="D33" s="79">
        <v>3</v>
      </c>
      <c r="E33" s="79">
        <v>30</v>
      </c>
      <c r="F33" s="79">
        <v>431</v>
      </c>
      <c r="G33" s="79">
        <v>36</v>
      </c>
      <c r="H33" s="79">
        <v>108</v>
      </c>
      <c r="I33" s="79">
        <v>158</v>
      </c>
      <c r="J33" s="79">
        <v>2824</v>
      </c>
      <c r="K33" s="79">
        <v>294</v>
      </c>
      <c r="L33" s="79">
        <v>2515</v>
      </c>
      <c r="M33" s="79">
        <v>2345</v>
      </c>
      <c r="N33" s="79">
        <v>1988</v>
      </c>
      <c r="AA33" s="83"/>
      <c r="AB33" s="83"/>
      <c r="AC33" s="83"/>
    </row>
    <row r="34" spans="2:31" x14ac:dyDescent="0.3">
      <c r="B34" s="7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</row>
    <row r="35" spans="2:31" x14ac:dyDescent="0.3">
      <c r="B35" s="77" t="s">
        <v>349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</row>
    <row r="36" spans="2:31" x14ac:dyDescent="0.3">
      <c r="B36" s="74" t="s">
        <v>350</v>
      </c>
      <c r="C36" s="79">
        <v>3869</v>
      </c>
      <c r="D36" s="79">
        <v>4049</v>
      </c>
      <c r="E36" s="79">
        <v>4447</v>
      </c>
      <c r="F36" s="79">
        <v>4926</v>
      </c>
      <c r="G36" s="79">
        <v>5925</v>
      </c>
      <c r="H36" s="79">
        <v>7039</v>
      </c>
      <c r="I36" s="79">
        <v>8103</v>
      </c>
      <c r="J36" s="79">
        <v>8408</v>
      </c>
      <c r="K36" s="79">
        <v>13609</v>
      </c>
      <c r="L36" s="79">
        <v>16584</v>
      </c>
      <c r="M36" s="79">
        <v>19051</v>
      </c>
      <c r="N36" s="79">
        <v>28184</v>
      </c>
    </row>
    <row r="37" spans="2:31" x14ac:dyDescent="0.3">
      <c r="B37" s="74" t="s">
        <v>351</v>
      </c>
      <c r="C37" s="79">
        <v>154</v>
      </c>
      <c r="D37" s="79">
        <v>190</v>
      </c>
      <c r="E37" s="79">
        <v>192</v>
      </c>
      <c r="F37" s="79">
        <v>208</v>
      </c>
      <c r="G37" s="79">
        <v>296</v>
      </c>
      <c r="H37" s="79">
        <v>420</v>
      </c>
      <c r="I37" s="79">
        <v>312</v>
      </c>
      <c r="J37" s="79">
        <v>366</v>
      </c>
      <c r="K37" s="79">
        <v>565</v>
      </c>
      <c r="L37" s="79">
        <v>674</v>
      </c>
      <c r="M37" s="79">
        <v>1018</v>
      </c>
      <c r="N37" s="79">
        <v>1068</v>
      </c>
      <c r="V37" s="83"/>
      <c r="Y37" s="83"/>
      <c r="Z37" s="83"/>
      <c r="AA37" s="83"/>
      <c r="AB37" s="83"/>
    </row>
    <row r="38" spans="2:31" x14ac:dyDescent="0.3">
      <c r="B38" s="74" t="s">
        <v>352</v>
      </c>
      <c r="C38" s="79">
        <v>893</v>
      </c>
      <c r="D38" s="79">
        <v>214</v>
      </c>
      <c r="E38" s="79">
        <v>116</v>
      </c>
      <c r="F38" s="79">
        <v>779</v>
      </c>
      <c r="G38" s="79">
        <v>618</v>
      </c>
      <c r="H38" s="79">
        <v>1066</v>
      </c>
      <c r="I38" s="79">
        <v>381</v>
      </c>
      <c r="J38" s="79">
        <v>560</v>
      </c>
      <c r="K38" s="79">
        <v>1573</v>
      </c>
      <c r="L38" s="79">
        <v>1343</v>
      </c>
      <c r="M38" s="79">
        <v>1526</v>
      </c>
      <c r="N38" s="79">
        <v>1584</v>
      </c>
      <c r="AC38" s="83"/>
    </row>
    <row r="39" spans="2:31" x14ac:dyDescent="0.3">
      <c r="B39" s="74" t="s">
        <v>353</v>
      </c>
      <c r="C39" s="79">
        <v>24</v>
      </c>
      <c r="D39" s="79">
        <v>47</v>
      </c>
      <c r="E39" s="79">
        <v>87</v>
      </c>
      <c r="F39" s="79">
        <v>122</v>
      </c>
      <c r="G39" s="79">
        <v>141</v>
      </c>
      <c r="H39" s="79">
        <v>25</v>
      </c>
      <c r="I39" s="79">
        <v>142</v>
      </c>
      <c r="J39" s="79">
        <v>109</v>
      </c>
      <c r="K39" s="79">
        <v>29</v>
      </c>
      <c r="L39" s="79">
        <v>167</v>
      </c>
      <c r="M39" s="79">
        <v>151</v>
      </c>
      <c r="N39" s="79">
        <v>324</v>
      </c>
      <c r="V39" s="83"/>
      <c r="W39" s="83"/>
      <c r="X39" s="83"/>
      <c r="Y39" s="83"/>
      <c r="Z39" s="83"/>
      <c r="AA39" s="83"/>
      <c r="AB39" s="83"/>
      <c r="AC39" s="83"/>
    </row>
    <row r="40" spans="2:31" x14ac:dyDescent="0.3">
      <c r="B40" s="74" t="s">
        <v>354</v>
      </c>
      <c r="C40" s="87">
        <v>520</v>
      </c>
      <c r="D40" s="87">
        <v>611</v>
      </c>
      <c r="E40" s="87">
        <v>591</v>
      </c>
      <c r="F40" s="87">
        <v>602</v>
      </c>
      <c r="G40" s="87">
        <v>988</v>
      </c>
      <c r="H40" s="87">
        <v>1452</v>
      </c>
      <c r="I40" s="87">
        <v>1797</v>
      </c>
      <c r="J40" s="87">
        <v>1622</v>
      </c>
      <c r="K40" s="87">
        <v>2489</v>
      </c>
      <c r="L40" s="87">
        <v>2595</v>
      </c>
      <c r="M40" s="87">
        <v>3650</v>
      </c>
      <c r="N40" s="87">
        <v>3330</v>
      </c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</row>
    <row r="41" spans="2:31" x14ac:dyDescent="0.3">
      <c r="B41" s="77" t="s">
        <v>139</v>
      </c>
      <c r="C41" s="89">
        <v>6111</v>
      </c>
      <c r="D41" s="89">
        <v>5868</v>
      </c>
      <c r="E41" s="89">
        <v>6342</v>
      </c>
      <c r="F41" s="89">
        <v>8408</v>
      </c>
      <c r="G41" s="89">
        <v>9521</v>
      </c>
      <c r="H41" s="89">
        <v>11710</v>
      </c>
      <c r="I41" s="89">
        <v>13544</v>
      </c>
      <c r="J41" s="89">
        <v>16444</v>
      </c>
      <c r="K41" s="89">
        <v>21188</v>
      </c>
      <c r="L41" s="89">
        <v>27020</v>
      </c>
      <c r="M41" s="89">
        <v>31547</v>
      </c>
      <c r="N41" s="89">
        <v>40645</v>
      </c>
    </row>
    <row r="44" spans="2:31" x14ac:dyDescent="0.3"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2:31" x14ac:dyDescent="0.3">
      <c r="B45" s="77" t="s">
        <v>355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2:31" x14ac:dyDescent="0.3">
      <c r="B46" s="75" t="s">
        <v>325</v>
      </c>
      <c r="C46" s="76">
        <v>41699</v>
      </c>
      <c r="D46" s="76">
        <v>42064</v>
      </c>
      <c r="E46" s="76">
        <v>42430</v>
      </c>
      <c r="F46" s="76">
        <v>42795</v>
      </c>
      <c r="G46" s="76">
        <v>43160</v>
      </c>
      <c r="H46" s="76">
        <v>43525</v>
      </c>
      <c r="I46" s="76">
        <v>43891</v>
      </c>
      <c r="J46" s="76">
        <v>44256</v>
      </c>
      <c r="K46" s="76">
        <v>44621</v>
      </c>
      <c r="L46" s="76">
        <v>44986</v>
      </c>
      <c r="M46" s="76">
        <v>45352</v>
      </c>
      <c r="N46" s="76">
        <v>45717</v>
      </c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2:31" x14ac:dyDescent="0.3">
      <c r="B47" s="77" t="s">
        <v>356</v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2:31" x14ac:dyDescent="0.3">
      <c r="B48" s="74" t="s">
        <v>357</v>
      </c>
      <c r="C48" s="79">
        <v>1049</v>
      </c>
      <c r="D48" s="79">
        <v>1163</v>
      </c>
      <c r="E48" s="79">
        <v>942</v>
      </c>
      <c r="F48" s="79">
        <v>1073</v>
      </c>
      <c r="G48" s="79">
        <v>1642</v>
      </c>
      <c r="H48" s="79">
        <v>2183</v>
      </c>
      <c r="I48" s="79">
        <v>2481</v>
      </c>
      <c r="J48" s="79">
        <v>1789</v>
      </c>
      <c r="K48" s="79">
        <v>3298</v>
      </c>
      <c r="L48" s="79">
        <v>4937</v>
      </c>
      <c r="M48" s="79">
        <v>5404</v>
      </c>
      <c r="N48" s="79">
        <v>5774</v>
      </c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 spans="2:30" x14ac:dyDescent="0.3">
      <c r="B49" s="74" t="s">
        <v>135</v>
      </c>
      <c r="C49" s="79">
        <v>12</v>
      </c>
      <c r="D49" s="79">
        <v>-39</v>
      </c>
      <c r="E49" s="79">
        <v>0</v>
      </c>
      <c r="F49" s="79">
        <v>-12</v>
      </c>
      <c r="G49" s="79">
        <v>-90</v>
      </c>
      <c r="H49" s="79">
        <v>-139</v>
      </c>
      <c r="I49" s="79">
        <v>109</v>
      </c>
      <c r="J49" s="79">
        <v>-59</v>
      </c>
      <c r="K49" s="79">
        <v>-207</v>
      </c>
      <c r="L49" s="79">
        <v>-112</v>
      </c>
      <c r="M49" s="79">
        <v>-348</v>
      </c>
      <c r="N49" s="79">
        <v>-95</v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 spans="2:30" x14ac:dyDescent="0.3">
      <c r="B50" s="74" t="s">
        <v>136</v>
      </c>
      <c r="C50" s="79">
        <v>-189</v>
      </c>
      <c r="D50" s="79">
        <v>-180</v>
      </c>
      <c r="E50" s="79">
        <v>-398</v>
      </c>
      <c r="F50" s="79">
        <v>-448</v>
      </c>
      <c r="G50" s="79">
        <v>-996</v>
      </c>
      <c r="H50" s="79">
        <v>-1120</v>
      </c>
      <c r="I50" s="79">
        <v>-1057</v>
      </c>
      <c r="J50" s="79">
        <v>-316</v>
      </c>
      <c r="K50" s="79">
        <v>-5199</v>
      </c>
      <c r="L50" s="79">
        <v>-2977</v>
      </c>
      <c r="M50" s="79">
        <v>-2462</v>
      </c>
      <c r="N50" s="79">
        <v>-9072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 spans="2:30" x14ac:dyDescent="0.3">
      <c r="B51" s="74" t="s">
        <v>358</v>
      </c>
      <c r="C51" s="79">
        <v>-1239</v>
      </c>
      <c r="D51" s="79">
        <v>1079</v>
      </c>
      <c r="E51" s="79">
        <v>-245</v>
      </c>
      <c r="F51" s="79">
        <v>238</v>
      </c>
      <c r="G51" s="79">
        <v>95</v>
      </c>
      <c r="H51" s="79">
        <v>32</v>
      </c>
      <c r="I51" s="79">
        <v>-310</v>
      </c>
      <c r="J51" s="79">
        <v>195</v>
      </c>
      <c r="K51" s="79">
        <v>504</v>
      </c>
      <c r="L51" s="79">
        <v>-89</v>
      </c>
      <c r="M51" s="79">
        <v>196</v>
      </c>
      <c r="N51" s="79">
        <v>564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 spans="2:30" x14ac:dyDescent="0.3">
      <c r="B52" s="264" t="s">
        <v>359</v>
      </c>
      <c r="C52" s="79">
        <v>-6</v>
      </c>
      <c r="D52" s="79">
        <v>-71</v>
      </c>
      <c r="E52" s="79">
        <v>-66</v>
      </c>
      <c r="F52" s="79">
        <v>0</v>
      </c>
      <c r="G52" s="79">
        <v>3</v>
      </c>
      <c r="H52" s="79">
        <v>-24</v>
      </c>
      <c r="I52" s="79">
        <v>-20</v>
      </c>
      <c r="J52" s="79">
        <v>-8</v>
      </c>
      <c r="K52" s="79">
        <v>-3</v>
      </c>
      <c r="L52" s="79">
        <v>-18</v>
      </c>
      <c r="M52" s="79">
        <v>-21</v>
      </c>
      <c r="N52" s="79">
        <v>4</v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 spans="2:30" x14ac:dyDescent="0.3">
      <c r="B53" s="74" t="s">
        <v>360</v>
      </c>
      <c r="C53" s="79">
        <v>0</v>
      </c>
      <c r="D53" s="79">
        <v>0</v>
      </c>
      <c r="E53" s="79">
        <v>0</v>
      </c>
      <c r="F53" s="79">
        <v>763</v>
      </c>
      <c r="G53" s="79">
        <v>-270</v>
      </c>
      <c r="H53" s="79">
        <v>741</v>
      </c>
      <c r="I53" s="79">
        <v>-768</v>
      </c>
      <c r="J53" s="79">
        <v>2625</v>
      </c>
      <c r="K53" s="79">
        <v>1188</v>
      </c>
      <c r="L53" s="79">
        <v>-99</v>
      </c>
      <c r="M53" s="79">
        <v>42</v>
      </c>
      <c r="N53" s="79">
        <v>2468</v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 spans="2:30" x14ac:dyDescent="0.3">
      <c r="B54" s="74" t="s">
        <v>361</v>
      </c>
      <c r="C54" s="79">
        <v>104</v>
      </c>
      <c r="D54" s="79">
        <v>-1204</v>
      </c>
      <c r="E54" s="79">
        <v>545</v>
      </c>
      <c r="F54" s="79">
        <v>375</v>
      </c>
      <c r="G54" s="79">
        <v>22</v>
      </c>
      <c r="H54" s="79">
        <v>206</v>
      </c>
      <c r="I54" s="79">
        <v>-226</v>
      </c>
      <c r="J54" s="79">
        <v>184</v>
      </c>
      <c r="K54" s="79">
        <v>497</v>
      </c>
      <c r="L54" s="79">
        <v>882</v>
      </c>
      <c r="M54" s="79">
        <v>57</v>
      </c>
      <c r="N54" s="79">
        <v>905</v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 spans="2:30" x14ac:dyDescent="0.3">
      <c r="B55" s="74" t="s">
        <v>362</v>
      </c>
      <c r="C55" s="79">
        <v>-1318</v>
      </c>
      <c r="D55" s="79">
        <v>-415</v>
      </c>
      <c r="E55" s="79">
        <v>-163</v>
      </c>
      <c r="F55" s="79">
        <v>916</v>
      </c>
      <c r="G55" s="79">
        <v>-1237</v>
      </c>
      <c r="H55" s="79">
        <v>-304</v>
      </c>
      <c r="I55" s="79">
        <v>-2272</v>
      </c>
      <c r="J55" s="79">
        <v>2621</v>
      </c>
      <c r="K55" s="79">
        <v>-3220</v>
      </c>
      <c r="L55" s="79">
        <v>-2413</v>
      </c>
      <c r="M55" s="79">
        <v>-2536</v>
      </c>
      <c r="N55" s="79">
        <v>-5226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 spans="2:30" x14ac:dyDescent="0.3">
      <c r="B56" s="74" t="s">
        <v>363</v>
      </c>
      <c r="C56" s="79">
        <v>-285</v>
      </c>
      <c r="D56" s="79">
        <v>-245</v>
      </c>
      <c r="E56" s="79">
        <v>-202</v>
      </c>
      <c r="F56" s="79">
        <v>-277</v>
      </c>
      <c r="G56" s="79">
        <v>-456</v>
      </c>
      <c r="H56" s="79">
        <v>-636</v>
      </c>
      <c r="I56" s="79">
        <v>-557</v>
      </c>
      <c r="J56" s="79">
        <v>-271</v>
      </c>
      <c r="K56" s="79">
        <v>-802</v>
      </c>
      <c r="L56" s="79">
        <v>-1154</v>
      </c>
      <c r="M56" s="79">
        <v>-1173</v>
      </c>
      <c r="N56" s="79">
        <v>-1089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 spans="2:30" x14ac:dyDescent="0.3">
      <c r="O57" s="8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 spans="2:30" x14ac:dyDescent="0.3">
      <c r="B58" s="77" t="s">
        <v>364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 spans="2:30" x14ac:dyDescent="0.3">
      <c r="B59" s="74" t="s">
        <v>365</v>
      </c>
      <c r="C59" s="79">
        <v>-213</v>
      </c>
      <c r="D59" s="79">
        <v>-209</v>
      </c>
      <c r="E59" s="79">
        <v>-254</v>
      </c>
      <c r="F59" s="79">
        <v>-256</v>
      </c>
      <c r="G59" s="79">
        <v>-305</v>
      </c>
      <c r="H59" s="79">
        <v>-265</v>
      </c>
      <c r="I59" s="79">
        <v>-355</v>
      </c>
      <c r="J59" s="79">
        <v>-146</v>
      </c>
      <c r="K59" s="79">
        <v>-224</v>
      </c>
      <c r="L59" s="79">
        <v>-432</v>
      </c>
      <c r="M59" s="79">
        <v>-691</v>
      </c>
      <c r="N59" s="79">
        <v>-494</v>
      </c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 spans="2:30" x14ac:dyDescent="0.3">
      <c r="B60" s="74" t="s">
        <v>366</v>
      </c>
      <c r="C60" s="79">
        <v>2</v>
      </c>
      <c r="D60" s="79">
        <v>2</v>
      </c>
      <c r="E60" s="79">
        <v>2</v>
      </c>
      <c r="F60" s="79">
        <v>5</v>
      </c>
      <c r="G60" s="79">
        <v>6</v>
      </c>
      <c r="H60" s="79">
        <v>1</v>
      </c>
      <c r="I60" s="79">
        <v>10</v>
      </c>
      <c r="J60" s="79">
        <v>7</v>
      </c>
      <c r="K60" s="79">
        <v>8</v>
      </c>
      <c r="L60" s="79">
        <v>12</v>
      </c>
      <c r="M60" s="79">
        <v>20</v>
      </c>
      <c r="N60" s="79">
        <v>24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 spans="2:30" x14ac:dyDescent="0.3">
      <c r="B61" s="74" t="s">
        <v>367</v>
      </c>
      <c r="C61" s="79">
        <v>0</v>
      </c>
      <c r="D61" s="79">
        <v>-135</v>
      </c>
      <c r="E61" s="79">
        <v>-1078</v>
      </c>
      <c r="F61" s="79">
        <v>-325</v>
      </c>
      <c r="G61" s="79">
        <v>0</v>
      </c>
      <c r="H61" s="79">
        <v>-36</v>
      </c>
      <c r="I61" s="79">
        <v>-13</v>
      </c>
      <c r="J61" s="79">
        <v>-2656</v>
      </c>
      <c r="K61" s="79">
        <v>-253</v>
      </c>
      <c r="L61" s="79">
        <v>-2104</v>
      </c>
      <c r="M61" s="79">
        <v>-21893</v>
      </c>
      <c r="N61" s="79">
        <v>-15342</v>
      </c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 spans="2:30" x14ac:dyDescent="0.3">
      <c r="B62" s="74" t="s">
        <v>368</v>
      </c>
      <c r="C62" s="79">
        <v>0</v>
      </c>
      <c r="D62" s="79">
        <v>135</v>
      </c>
      <c r="E62" s="79">
        <v>1083</v>
      </c>
      <c r="F62" s="79">
        <v>0</v>
      </c>
      <c r="G62" s="79">
        <v>412</v>
      </c>
      <c r="H62" s="79">
        <v>18</v>
      </c>
      <c r="I62" s="79">
        <v>0</v>
      </c>
      <c r="J62" s="79">
        <v>43</v>
      </c>
      <c r="K62" s="79">
        <v>2870</v>
      </c>
      <c r="L62" s="79">
        <v>0</v>
      </c>
      <c r="M62" s="79">
        <v>22213</v>
      </c>
      <c r="N62" s="79">
        <v>15747</v>
      </c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 spans="2:30" x14ac:dyDescent="0.3">
      <c r="B63" s="74" t="s">
        <v>369</v>
      </c>
      <c r="C63" s="79">
        <v>112</v>
      </c>
      <c r="D63" s="79">
        <v>77</v>
      </c>
      <c r="E63" s="79">
        <v>58</v>
      </c>
      <c r="F63" s="79">
        <v>41</v>
      </c>
      <c r="G63" s="79">
        <v>64</v>
      </c>
      <c r="H63" s="79">
        <v>85</v>
      </c>
      <c r="I63" s="79">
        <v>73</v>
      </c>
      <c r="J63" s="79">
        <v>49</v>
      </c>
      <c r="K63" s="79">
        <v>56</v>
      </c>
      <c r="L63" s="79">
        <v>143</v>
      </c>
      <c r="M63" s="79">
        <v>249</v>
      </c>
      <c r="N63" s="79">
        <v>288</v>
      </c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 spans="2:30" x14ac:dyDescent="0.3">
      <c r="B64" s="74" t="s">
        <v>370</v>
      </c>
      <c r="C64" s="79">
        <v>0</v>
      </c>
      <c r="D64" s="79">
        <v>0</v>
      </c>
      <c r="E64" s="79">
        <v>-18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79">
        <v>0</v>
      </c>
      <c r="N64" s="79">
        <v>0</v>
      </c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 spans="2:30" x14ac:dyDescent="0.3">
      <c r="B65" s="74" t="s">
        <v>371</v>
      </c>
      <c r="C65" s="79">
        <v>0</v>
      </c>
      <c r="D65" s="79">
        <v>0</v>
      </c>
      <c r="E65" s="79">
        <v>0</v>
      </c>
      <c r="F65" s="79">
        <v>-385</v>
      </c>
      <c r="G65" s="79">
        <v>0</v>
      </c>
      <c r="H65" s="79">
        <v>0</v>
      </c>
      <c r="I65" s="79">
        <v>0</v>
      </c>
      <c r="J65" s="79">
        <v>0</v>
      </c>
      <c r="K65" s="79">
        <v>0</v>
      </c>
      <c r="L65" s="79">
        <v>0</v>
      </c>
      <c r="M65" s="79">
        <v>0</v>
      </c>
      <c r="N65" s="79">
        <v>0</v>
      </c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 spans="2:30" x14ac:dyDescent="0.3">
      <c r="B66" s="74" t="s">
        <v>372</v>
      </c>
      <c r="C66" s="79">
        <v>-90</v>
      </c>
      <c r="D66" s="79">
        <v>-48</v>
      </c>
      <c r="E66" s="79">
        <v>38</v>
      </c>
      <c r="F66" s="79">
        <v>5</v>
      </c>
      <c r="G66" s="79">
        <v>-35</v>
      </c>
      <c r="H66" s="79">
        <v>-115</v>
      </c>
      <c r="I66" s="79">
        <v>200</v>
      </c>
      <c r="J66" s="79">
        <v>-50</v>
      </c>
      <c r="K66" s="79">
        <v>-344</v>
      </c>
      <c r="L66" s="79">
        <v>294</v>
      </c>
      <c r="M66" s="79">
        <v>-143</v>
      </c>
      <c r="N66" s="79">
        <v>243</v>
      </c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 spans="2:30" x14ac:dyDescent="0.3">
      <c r="B67" s="74" t="s">
        <v>373</v>
      </c>
      <c r="C67" s="79">
        <v>-82</v>
      </c>
      <c r="D67" s="79">
        <v>60</v>
      </c>
      <c r="E67" s="79">
        <v>10</v>
      </c>
      <c r="F67" s="79">
        <v>-38</v>
      </c>
      <c r="G67" s="79">
        <v>-43</v>
      </c>
      <c r="H67" s="79">
        <v>-485</v>
      </c>
      <c r="I67" s="79">
        <v>359</v>
      </c>
      <c r="J67" s="79">
        <v>-46</v>
      </c>
      <c r="K67" s="79">
        <v>-948</v>
      </c>
      <c r="L67" s="79">
        <v>273</v>
      </c>
      <c r="M67" s="79">
        <v>56</v>
      </c>
      <c r="N67" s="79">
        <v>80</v>
      </c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 spans="2:30" x14ac:dyDescent="0.3"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 spans="2:30" x14ac:dyDescent="0.3">
      <c r="B69" s="77" t="s">
        <v>374</v>
      </c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 spans="2:30" x14ac:dyDescent="0.3">
      <c r="B70" s="74" t="s">
        <v>375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693</v>
      </c>
      <c r="J70" s="79">
        <v>0</v>
      </c>
      <c r="K70" s="79">
        <v>349</v>
      </c>
      <c r="L70" s="79">
        <v>1684</v>
      </c>
      <c r="M70" s="79">
        <v>5629</v>
      </c>
      <c r="N70" s="79">
        <v>2599</v>
      </c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 spans="2:30" x14ac:dyDescent="0.3">
      <c r="B71" s="74" t="s">
        <v>376</v>
      </c>
      <c r="C71" s="79">
        <v>0</v>
      </c>
      <c r="D71" s="79">
        <v>0</v>
      </c>
      <c r="E71" s="79">
        <v>0</v>
      </c>
      <c r="F71" s="79">
        <v>0</v>
      </c>
      <c r="G71" s="79">
        <v>0</v>
      </c>
      <c r="H71" s="79">
        <v>-39</v>
      </c>
      <c r="I71" s="79">
        <v>0</v>
      </c>
      <c r="J71" s="79">
        <v>-562</v>
      </c>
      <c r="K71" s="79">
        <v>-7</v>
      </c>
      <c r="L71" s="79">
        <v>-7</v>
      </c>
      <c r="M71" s="79">
        <v>0</v>
      </c>
      <c r="N71" s="79">
        <v>-378</v>
      </c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 spans="2:30" x14ac:dyDescent="0.3">
      <c r="B72" s="74" t="s">
        <v>377</v>
      </c>
      <c r="C72" s="79">
        <v>-87</v>
      </c>
      <c r="D72" s="79">
        <v>-81</v>
      </c>
      <c r="E72" s="79">
        <v>-42</v>
      </c>
      <c r="F72" s="79">
        <v>-38</v>
      </c>
      <c r="G72" s="79">
        <v>-54</v>
      </c>
      <c r="H72" s="79">
        <v>-53</v>
      </c>
      <c r="I72" s="79">
        <v>-399</v>
      </c>
      <c r="J72" s="79">
        <v>-317</v>
      </c>
      <c r="K72" s="79">
        <v>-218</v>
      </c>
      <c r="L72" s="79">
        <v>-300</v>
      </c>
      <c r="M72" s="79">
        <v>-619</v>
      </c>
      <c r="N72" s="79">
        <v>-538</v>
      </c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 spans="2:30" x14ac:dyDescent="0.3">
      <c r="B73" s="74" t="s">
        <v>378</v>
      </c>
      <c r="C73" s="79">
        <v>-185</v>
      </c>
      <c r="D73" s="79">
        <v>-185</v>
      </c>
      <c r="E73" s="79">
        <v>-394</v>
      </c>
      <c r="F73" s="79">
        <v>-4</v>
      </c>
      <c r="G73" s="79">
        <v>-277</v>
      </c>
      <c r="H73" s="79">
        <v>-397</v>
      </c>
      <c r="I73" s="79">
        <v>-536</v>
      </c>
      <c r="J73" s="79">
        <v>-355</v>
      </c>
      <c r="K73" s="79">
        <v>-355</v>
      </c>
      <c r="L73" s="79">
        <v>-666</v>
      </c>
      <c r="M73" s="79">
        <v>-888</v>
      </c>
      <c r="N73" s="79">
        <v>-976</v>
      </c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 spans="2:30" x14ac:dyDescent="0.3">
      <c r="B74" s="74" t="s">
        <v>379</v>
      </c>
      <c r="C74" s="79">
        <v>0</v>
      </c>
      <c r="D74" s="79">
        <v>0</v>
      </c>
      <c r="E74" s="79">
        <v>0</v>
      </c>
      <c r="F74" s="79">
        <v>0</v>
      </c>
      <c r="G74" s="79">
        <v>0</v>
      </c>
      <c r="H74" s="79">
        <v>0</v>
      </c>
      <c r="I74" s="79">
        <v>0</v>
      </c>
      <c r="J74" s="79">
        <v>0</v>
      </c>
      <c r="K74" s="79">
        <v>-172</v>
      </c>
      <c r="L74" s="79">
        <v>-254</v>
      </c>
      <c r="M74" s="79">
        <v>-318</v>
      </c>
      <c r="N74" s="79">
        <v>-700</v>
      </c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 spans="2:30" x14ac:dyDescent="0.3">
      <c r="B75" s="74" t="s">
        <v>380</v>
      </c>
      <c r="C75" s="79">
        <v>25</v>
      </c>
      <c r="D75" s="79">
        <v>17</v>
      </c>
      <c r="E75" s="79">
        <v>17</v>
      </c>
      <c r="F75" s="79">
        <v>8</v>
      </c>
      <c r="G75" s="79">
        <v>4</v>
      </c>
      <c r="H75" s="79">
        <v>15</v>
      </c>
      <c r="I75" s="79">
        <v>2</v>
      </c>
      <c r="J75" s="79">
        <v>1</v>
      </c>
      <c r="K75" s="79">
        <v>0</v>
      </c>
      <c r="L75" s="79">
        <v>0</v>
      </c>
      <c r="M75" s="79">
        <v>0</v>
      </c>
      <c r="N75" s="79">
        <v>0</v>
      </c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 spans="2:30" x14ac:dyDescent="0.3">
      <c r="B76" s="74" t="s">
        <v>381</v>
      </c>
      <c r="C76" s="79">
        <v>770</v>
      </c>
      <c r="D76" s="79">
        <v>-739</v>
      </c>
      <c r="E76" s="79">
        <v>-68</v>
      </c>
      <c r="F76" s="79">
        <v>-124</v>
      </c>
      <c r="G76" s="79">
        <v>79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-5133</v>
      </c>
      <c r="N76" s="79">
        <v>-14</v>
      </c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 spans="2:30" x14ac:dyDescent="0.3"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 spans="2:30" ht="15" thickBot="1" x14ac:dyDescent="0.35">
      <c r="B78" s="90" t="s">
        <v>145</v>
      </c>
      <c r="C78" s="90">
        <v>-329</v>
      </c>
      <c r="D78" s="90">
        <v>-620</v>
      </c>
      <c r="E78" s="90">
        <v>-88</v>
      </c>
      <c r="F78" s="90">
        <v>594</v>
      </c>
      <c r="G78" s="90">
        <v>-206</v>
      </c>
      <c r="H78" s="90">
        <v>-43</v>
      </c>
      <c r="I78" s="90">
        <v>-355</v>
      </c>
      <c r="J78" s="90">
        <v>106</v>
      </c>
      <c r="K78" s="90">
        <v>38</v>
      </c>
      <c r="L78" s="90">
        <v>13</v>
      </c>
      <c r="M78" s="90">
        <v>177</v>
      </c>
      <c r="N78" s="90">
        <v>-2</v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 spans="2:30" x14ac:dyDescent="0.3"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 spans="2:30" x14ac:dyDescent="0.3"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 spans="15:30" x14ac:dyDescent="0.3"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 spans="15:30" x14ac:dyDescent="0.3"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 spans="15:30" x14ac:dyDescent="0.3"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</sheetData>
  <pageMargins left="0.7" right="0.7" top="0.75" bottom="0.75" header="0.3" footer="0.3"/>
  <pageSetup paperSize="9" scale="46" orientation="portrait" horizontalDpi="0" verticalDpi="0" r:id="rId1"/>
  <rowBreaks count="1" manualBreakCount="1">
    <brk id="42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Normal="100" workbookViewId="0">
      <pane xSplit="1" ySplit="3" topLeftCell="B4" activePane="bottomRight" state="frozen"/>
      <selection pane="topRight" activeCell="C4" sqref="C4"/>
      <selection pane="bottomLeft" activeCell="C4" sqref="C4"/>
      <selection pane="bottomRight" activeCell="B25" sqref="B25"/>
    </sheetView>
  </sheetViews>
  <sheetFormatPr defaultColWidth="8.6640625" defaultRowHeight="14.4" x14ac:dyDescent="0.3"/>
  <cols>
    <col min="1" max="1" width="22.664062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TITAN COMPANY LTD</v>
      </c>
      <c r="E1" t="str">
        <f>UPDATE</f>
        <v/>
      </c>
      <c r="G1"/>
      <c r="J1" s="2" t="s">
        <v>0</v>
      </c>
    </row>
    <row r="2" spans="1:11" x14ac:dyDescent="0.3">
      <c r="G2" s="2"/>
      <c r="H2" s="2"/>
    </row>
    <row r="3" spans="1:11" x14ac:dyDescent="0.3">
      <c r="A3" s="11" t="s">
        <v>1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125</v>
      </c>
      <c r="B4" s="14">
        <f>'Data Sheet'!B57</f>
        <v>88.78</v>
      </c>
      <c r="C4" s="14">
        <f>'Data Sheet'!C57</f>
        <v>88.78</v>
      </c>
      <c r="D4" s="14">
        <f>'Data Sheet'!D57</f>
        <v>88.78</v>
      </c>
      <c r="E4" s="14">
        <f>'Data Sheet'!E57</f>
        <v>88.78</v>
      </c>
      <c r="F4" s="14">
        <f>'Data Sheet'!F57</f>
        <v>89</v>
      </c>
      <c r="G4" s="14">
        <f>'Data Sheet'!G57</f>
        <v>89</v>
      </c>
      <c r="H4" s="14">
        <f>'Data Sheet'!H57</f>
        <v>89</v>
      </c>
      <c r="I4" s="14">
        <f>'Data Sheet'!I57</f>
        <v>89</v>
      </c>
      <c r="J4" s="14">
        <f>'Data Sheet'!J57</f>
        <v>89</v>
      </c>
      <c r="K4" s="14">
        <f>'Data Sheet'!K57</f>
        <v>89</v>
      </c>
    </row>
    <row r="5" spans="1:11" x14ac:dyDescent="0.3">
      <c r="A5" t="s">
        <v>126</v>
      </c>
      <c r="B5" s="14">
        <f>'Data Sheet'!B58</f>
        <v>3417.5</v>
      </c>
      <c r="C5" s="14">
        <f>'Data Sheet'!C58</f>
        <v>4143.6000000000004</v>
      </c>
      <c r="D5" s="14">
        <f>'Data Sheet'!D58</f>
        <v>5001.1000000000004</v>
      </c>
      <c r="E5" s="14">
        <f>'Data Sheet'!E58</f>
        <v>5981.37</v>
      </c>
      <c r="F5" s="14">
        <f>'Data Sheet'!F58</f>
        <v>6580</v>
      </c>
      <c r="G5" s="14">
        <f>'Data Sheet'!G58</f>
        <v>7408</v>
      </c>
      <c r="H5" s="14">
        <f>'Data Sheet'!H58</f>
        <v>9214</v>
      </c>
      <c r="I5" s="14">
        <f>'Data Sheet'!I58</f>
        <v>11762</v>
      </c>
      <c r="J5" s="14">
        <f>'Data Sheet'!J58</f>
        <v>9304</v>
      </c>
      <c r="K5" s="14">
        <f>'Data Sheet'!K58</f>
        <v>11535</v>
      </c>
    </row>
    <row r="6" spans="1:11" x14ac:dyDescent="0.3">
      <c r="A6" t="s">
        <v>127</v>
      </c>
      <c r="B6" s="14">
        <f>'Data Sheet'!B59</f>
        <v>113.05</v>
      </c>
      <c r="C6" s="14">
        <f>'Data Sheet'!C59</f>
        <v>1882.43</v>
      </c>
      <c r="D6" s="14">
        <f>'Data Sheet'!D59</f>
        <v>1691.01</v>
      </c>
      <c r="E6" s="14">
        <f>'Data Sheet'!E59</f>
        <v>2392.98</v>
      </c>
      <c r="F6" s="14">
        <f>'Data Sheet'!F59</f>
        <v>3562</v>
      </c>
      <c r="G6" s="14">
        <f>'Data Sheet'!G59</f>
        <v>5638</v>
      </c>
      <c r="H6" s="14">
        <f>'Data Sheet'!H59</f>
        <v>7275</v>
      </c>
      <c r="I6" s="14">
        <f>'Data Sheet'!I59</f>
        <v>9367</v>
      </c>
      <c r="J6" s="14">
        <f>'Data Sheet'!J59</f>
        <v>15528</v>
      </c>
      <c r="K6" s="14">
        <f>'Data Sheet'!K59</f>
        <v>20777</v>
      </c>
    </row>
    <row r="7" spans="1:11" x14ac:dyDescent="0.3">
      <c r="A7" t="s">
        <v>128</v>
      </c>
      <c r="B7" s="14">
        <f>'Data Sheet'!B60</f>
        <v>2722.58</v>
      </c>
      <c r="C7" s="14">
        <f>'Data Sheet'!C60</f>
        <v>2292.7600000000002</v>
      </c>
      <c r="D7" s="14">
        <f>'Data Sheet'!D60</f>
        <v>2740.15</v>
      </c>
      <c r="E7" s="14">
        <f>'Data Sheet'!E60</f>
        <v>3246.71</v>
      </c>
      <c r="F7" s="14">
        <f>'Data Sheet'!F60</f>
        <v>3313</v>
      </c>
      <c r="G7" s="14">
        <f>'Data Sheet'!G60</f>
        <v>3309</v>
      </c>
      <c r="H7" s="14">
        <f>'Data Sheet'!H60</f>
        <v>4610</v>
      </c>
      <c r="I7" s="14">
        <f>'Data Sheet'!I60</f>
        <v>5802</v>
      </c>
      <c r="J7" s="14">
        <f>'Data Sheet'!J60</f>
        <v>6626</v>
      </c>
      <c r="K7" s="14">
        <f>'Data Sheet'!K60</f>
        <v>8244</v>
      </c>
    </row>
    <row r="8" spans="1:11" s="2" customFormat="1" x14ac:dyDescent="0.3">
      <c r="A8" s="2" t="s">
        <v>60</v>
      </c>
      <c r="B8" s="15">
        <f>'Data Sheet'!B61</f>
        <v>6341.91</v>
      </c>
      <c r="C8" s="15">
        <f>'Data Sheet'!C61</f>
        <v>8407.57</v>
      </c>
      <c r="D8" s="15">
        <f>'Data Sheet'!D61</f>
        <v>9521.0400000000009</v>
      </c>
      <c r="E8" s="15">
        <f>'Data Sheet'!E61</f>
        <v>11709.84</v>
      </c>
      <c r="F8" s="15">
        <f>'Data Sheet'!F61</f>
        <v>13544</v>
      </c>
      <c r="G8" s="15">
        <f>'Data Sheet'!G61</f>
        <v>16444</v>
      </c>
      <c r="H8" s="15">
        <f>'Data Sheet'!H61</f>
        <v>21188</v>
      </c>
      <c r="I8" s="15">
        <f>'Data Sheet'!I61</f>
        <v>27020</v>
      </c>
      <c r="J8" s="15">
        <f>'Data Sheet'!J61</f>
        <v>31547</v>
      </c>
      <c r="K8" s="15">
        <f>'Data Sheet'!K61</f>
        <v>40645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347</v>
      </c>
      <c r="B10" s="14">
        <f>'Data Sheet'!B62</f>
        <v>770.54</v>
      </c>
      <c r="C10" s="14">
        <f>'Data Sheet'!C62</f>
        <v>1188.72</v>
      </c>
      <c r="D10" s="14">
        <f>'Data Sheet'!D62</f>
        <v>1473.81</v>
      </c>
      <c r="E10" s="14">
        <f>'Data Sheet'!E62</f>
        <v>1566.63</v>
      </c>
      <c r="F10" s="14">
        <f>'Data Sheet'!F62</f>
        <v>2633</v>
      </c>
      <c r="G10" s="14">
        <f>'Data Sheet'!G62</f>
        <v>2523</v>
      </c>
      <c r="H10" s="14">
        <f>'Data Sheet'!H62</f>
        <v>2544</v>
      </c>
      <c r="I10" s="14">
        <f>'Data Sheet'!I62</f>
        <v>2998</v>
      </c>
      <c r="J10" s="14">
        <f>'Data Sheet'!J62</f>
        <v>3709</v>
      </c>
      <c r="K10" s="14">
        <f>'Data Sheet'!K62</f>
        <v>4062</v>
      </c>
    </row>
    <row r="11" spans="1:11" x14ac:dyDescent="0.3">
      <c r="A11" t="s">
        <v>131</v>
      </c>
      <c r="B11" s="14">
        <f>'Data Sheet'!B63</f>
        <v>106.71</v>
      </c>
      <c r="C11" s="14">
        <f>'Data Sheet'!C63</f>
        <v>152.07</v>
      </c>
      <c r="D11" s="14">
        <f>'Data Sheet'!D63</f>
        <v>43.37</v>
      </c>
      <c r="E11" s="14">
        <f>'Data Sheet'!E63</f>
        <v>31.77</v>
      </c>
      <c r="F11" s="14">
        <f>'Data Sheet'!F63</f>
        <v>18</v>
      </c>
      <c r="G11" s="14">
        <f>'Data Sheet'!G63</f>
        <v>32</v>
      </c>
      <c r="H11" s="14">
        <f>'Data Sheet'!H63</f>
        <v>85</v>
      </c>
      <c r="I11" s="14">
        <f>'Data Sheet'!I63</f>
        <v>144</v>
      </c>
      <c r="J11" s="14">
        <f>'Data Sheet'!J63</f>
        <v>97</v>
      </c>
      <c r="K11" s="14">
        <f>'Data Sheet'!K63</f>
        <v>105</v>
      </c>
    </row>
    <row r="12" spans="1:11" x14ac:dyDescent="0.3">
      <c r="A12" t="s">
        <v>132</v>
      </c>
      <c r="B12" s="14">
        <f>'Data Sheet'!B64</f>
        <v>30.41</v>
      </c>
      <c r="C12" s="14">
        <f>'Data Sheet'!C64</f>
        <v>430.73</v>
      </c>
      <c r="D12" s="14">
        <f>'Data Sheet'!D64</f>
        <v>35.99</v>
      </c>
      <c r="E12" s="14">
        <f>'Data Sheet'!E64</f>
        <v>108.42</v>
      </c>
      <c r="F12" s="14">
        <f>'Data Sheet'!F64</f>
        <v>158</v>
      </c>
      <c r="G12" s="14">
        <f>'Data Sheet'!G64</f>
        <v>2824</v>
      </c>
      <c r="H12" s="14">
        <f>'Data Sheet'!H64</f>
        <v>294</v>
      </c>
      <c r="I12" s="14">
        <f>'Data Sheet'!I64</f>
        <v>2515</v>
      </c>
      <c r="J12" s="14">
        <f>'Data Sheet'!J64</f>
        <v>2345</v>
      </c>
      <c r="K12" s="14">
        <f>'Data Sheet'!K64</f>
        <v>1988</v>
      </c>
    </row>
    <row r="13" spans="1:11" x14ac:dyDescent="0.3">
      <c r="A13" t="s">
        <v>133</v>
      </c>
      <c r="B13" s="14">
        <f>'Data Sheet'!B65</f>
        <v>5434.25</v>
      </c>
      <c r="C13" s="14">
        <f>'Data Sheet'!C65</f>
        <v>6636.05</v>
      </c>
      <c r="D13" s="14">
        <f>'Data Sheet'!D65</f>
        <v>7967.87</v>
      </c>
      <c r="E13" s="14">
        <f>'Data Sheet'!E65</f>
        <v>10003.02</v>
      </c>
      <c r="F13" s="14">
        <f>'Data Sheet'!F65</f>
        <v>10735</v>
      </c>
      <c r="G13" s="14">
        <f>'Data Sheet'!G65</f>
        <v>11065</v>
      </c>
      <c r="H13" s="14">
        <f>'Data Sheet'!H65</f>
        <v>18265</v>
      </c>
      <c r="I13" s="14">
        <f>'Data Sheet'!I65</f>
        <v>21363</v>
      </c>
      <c r="J13" s="14">
        <f>'Data Sheet'!J65</f>
        <v>25396</v>
      </c>
      <c r="K13" s="14">
        <f>'Data Sheet'!K65</f>
        <v>34490</v>
      </c>
    </row>
    <row r="14" spans="1:11" s="2" customFormat="1" x14ac:dyDescent="0.3">
      <c r="A14" s="2" t="s">
        <v>60</v>
      </c>
      <c r="B14" s="14">
        <f>'Data Sheet'!B66</f>
        <v>6341.91</v>
      </c>
      <c r="C14" s="14">
        <f>'Data Sheet'!C66</f>
        <v>8407.57</v>
      </c>
      <c r="D14" s="14">
        <f>'Data Sheet'!D66</f>
        <v>9521.0400000000009</v>
      </c>
      <c r="E14" s="14">
        <f>'Data Sheet'!E66</f>
        <v>11709.84</v>
      </c>
      <c r="F14" s="14">
        <f>'Data Sheet'!F66</f>
        <v>13544</v>
      </c>
      <c r="G14" s="14">
        <f>'Data Sheet'!G66</f>
        <v>16444</v>
      </c>
      <c r="H14" s="14">
        <f>'Data Sheet'!H66</f>
        <v>21188</v>
      </c>
      <c r="I14" s="14">
        <f>'Data Sheet'!I66</f>
        <v>27020</v>
      </c>
      <c r="J14" s="14">
        <f>'Data Sheet'!J66</f>
        <v>31547</v>
      </c>
      <c r="K14" s="14">
        <f>'Data Sheet'!K66</f>
        <v>40645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382</v>
      </c>
      <c r="B16" s="4">
        <f>B13-B7</f>
        <v>2711.67</v>
      </c>
      <c r="C16" s="4">
        <f t="shared" ref="C16:K16" si="0">C13-C7</f>
        <v>4343.29</v>
      </c>
      <c r="D16" s="4">
        <f t="shared" si="0"/>
        <v>5227.7199999999993</v>
      </c>
      <c r="E16" s="4">
        <f t="shared" si="0"/>
        <v>6756.31</v>
      </c>
      <c r="F16" s="4">
        <f t="shared" si="0"/>
        <v>7422</v>
      </c>
      <c r="G16" s="4">
        <f t="shared" si="0"/>
        <v>7756</v>
      </c>
      <c r="H16" s="4">
        <f t="shared" si="0"/>
        <v>13655</v>
      </c>
      <c r="I16" s="4">
        <f t="shared" si="0"/>
        <v>15561</v>
      </c>
      <c r="J16" s="4">
        <f t="shared" si="0"/>
        <v>18770</v>
      </c>
      <c r="K16" s="4">
        <f t="shared" si="0"/>
        <v>26246</v>
      </c>
    </row>
    <row r="17" spans="1:11" x14ac:dyDescent="0.3">
      <c r="A17" t="s">
        <v>383</v>
      </c>
      <c r="B17" s="4">
        <f>'Data Sheet'!B67</f>
        <v>192.5</v>
      </c>
      <c r="C17" s="4">
        <f>'Data Sheet'!C67</f>
        <v>207.6</v>
      </c>
      <c r="D17" s="4">
        <f>'Data Sheet'!D67</f>
        <v>295.69</v>
      </c>
      <c r="E17" s="4">
        <f>'Data Sheet'!E67</f>
        <v>420.45</v>
      </c>
      <c r="F17" s="4">
        <f>'Data Sheet'!F67</f>
        <v>312</v>
      </c>
      <c r="G17" s="4">
        <f>'Data Sheet'!G67</f>
        <v>366</v>
      </c>
      <c r="H17" s="4">
        <f>'Data Sheet'!H67</f>
        <v>565</v>
      </c>
      <c r="I17" s="4">
        <f>'Data Sheet'!I67</f>
        <v>674</v>
      </c>
      <c r="J17" s="4">
        <f>'Data Sheet'!J67</f>
        <v>1018</v>
      </c>
      <c r="K17" s="4">
        <f>'Data Sheet'!K67</f>
        <v>1068</v>
      </c>
    </row>
    <row r="18" spans="1:11" x14ac:dyDescent="0.3">
      <c r="A18" t="s">
        <v>136</v>
      </c>
      <c r="B18" s="4">
        <f>'Data Sheet'!B68</f>
        <v>4447.1499999999996</v>
      </c>
      <c r="C18" s="4">
        <f>'Data Sheet'!C68</f>
        <v>4925.74</v>
      </c>
      <c r="D18" s="4">
        <f>'Data Sheet'!D68</f>
        <v>5924.84</v>
      </c>
      <c r="E18" s="4">
        <f>'Data Sheet'!E68</f>
        <v>7038.82</v>
      </c>
      <c r="F18" s="4">
        <f>'Data Sheet'!F68</f>
        <v>8103</v>
      </c>
      <c r="G18" s="4">
        <f>'Data Sheet'!G68</f>
        <v>8408</v>
      </c>
      <c r="H18" s="4">
        <f>'Data Sheet'!H68</f>
        <v>13609</v>
      </c>
      <c r="I18" s="4">
        <f>'Data Sheet'!I68</f>
        <v>16584</v>
      </c>
      <c r="J18" s="4">
        <f>'Data Sheet'!J68</f>
        <v>19051</v>
      </c>
      <c r="K18" s="4">
        <f>'Data Sheet'!K68</f>
        <v>28184</v>
      </c>
    </row>
    <row r="20" spans="1:11" x14ac:dyDescent="0.3">
      <c r="A20" t="s">
        <v>172</v>
      </c>
      <c r="B20" s="4">
        <f>IF('Profit &amp; Loss'!B4&gt;0,'Balance Sheet'!B17/('Profit &amp; Loss'!B4/365),0)</f>
        <v>6.2312154517293097</v>
      </c>
      <c r="C20" s="4">
        <f>IF('Profit &amp; Loss'!C4&gt;0,'Balance Sheet'!C17/('Profit &amp; Loss'!C4/365),0)</f>
        <v>5.714121966724556</v>
      </c>
      <c r="D20" s="4">
        <f>IF('Profit &amp; Loss'!D4&gt;0,'Balance Sheet'!D17/('Profit &amp; Loss'!D4/365),0)</f>
        <v>6.6953095484612994</v>
      </c>
      <c r="E20" s="4">
        <f>IF('Profit &amp; Loss'!E4&gt;0,'Balance Sheet'!E17/('Profit &amp; Loss'!E4/365),0)</f>
        <v>7.7591371851887798</v>
      </c>
      <c r="F20" s="4">
        <f>IF('Profit &amp; Loss'!F4&gt;0,'Balance Sheet'!F17/('Profit &amp; Loss'!F4/365),0)</f>
        <v>5.4094622838685158</v>
      </c>
      <c r="G20" s="4">
        <f>IF('Profit &amp; Loss'!G4&gt;0,'Balance Sheet'!G17/('Profit &amp; Loss'!G4/365),0)</f>
        <v>6.172149325448161</v>
      </c>
      <c r="H20" s="4">
        <f>IF('Profit &amp; Loss'!H4&gt;0,'Balance Sheet'!H17/('Profit &amp; Loss'!H4/365),0)</f>
        <v>7.160838918017987</v>
      </c>
      <c r="I20" s="4">
        <f>IF('Profit &amp; Loss'!I4&gt;0,'Balance Sheet'!I17/('Profit &amp; Loss'!I4/365),0)</f>
        <v>6.0630930375847196</v>
      </c>
      <c r="J20" s="4">
        <f>IF('Profit &amp; Loss'!J4&gt;0,'Balance Sheet'!J17/('Profit &amp; Loss'!J4/365),0)</f>
        <v>7.2737060527758199</v>
      </c>
      <c r="K20" s="4">
        <f>IF('Profit &amp; Loss'!K4&gt;0,'Balance Sheet'!K17/('Profit &amp; Loss'!K4/365),0)</f>
        <v>6.4479952362048429</v>
      </c>
    </row>
    <row r="21" spans="1:11" x14ac:dyDescent="0.3">
      <c r="A21" t="s">
        <v>169</v>
      </c>
      <c r="B21" s="4">
        <f>IF('Balance Sheet'!B18&gt;0,'Profit &amp; Loss'!B4/'Balance Sheet'!B18,0)</f>
        <v>2.5355317450502008</v>
      </c>
      <c r="C21" s="4">
        <f>IF('Balance Sheet'!C18&gt;0,'Profit &amp; Loss'!C4/'Balance Sheet'!C18,0)</f>
        <v>2.6921498089627143</v>
      </c>
      <c r="D21" s="4">
        <f>IF('Balance Sheet'!D18&gt;0,'Profit &amp; Loss'!D4/'Balance Sheet'!D18,0)</f>
        <v>2.7207097575630734</v>
      </c>
      <c r="E21" s="4">
        <f>IF('Balance Sheet'!E18&gt;0,'Profit &amp; Loss'!E4/'Balance Sheet'!E18,0)</f>
        <v>2.8099198445193942</v>
      </c>
      <c r="F21" s="4">
        <f>IF('Balance Sheet'!F18&gt;0,'Profit &amp; Loss'!F4/'Balance Sheet'!F18,0)</f>
        <v>2.59805010489942</v>
      </c>
      <c r="G21" s="4">
        <f>IF('Balance Sheet'!G18&gt;0,'Profit &amp; Loss'!G4/'Balance Sheet'!G18,0)</f>
        <v>2.5742150333016176</v>
      </c>
      <c r="H21" s="4">
        <f>IF('Balance Sheet'!H18&gt;0,'Profit &amp; Loss'!H4/'Balance Sheet'!H18,0)</f>
        <v>2.1161731207289294</v>
      </c>
      <c r="I21" s="4">
        <f>IF('Balance Sheet'!I18&gt;0,'Profit &amp; Loss'!I4/'Balance Sheet'!I18,0)</f>
        <v>2.4466353111432708</v>
      </c>
      <c r="J21" s="4">
        <f>IF('Balance Sheet'!J18&gt;0,'Profit &amp; Loss'!J4/'Balance Sheet'!J18,0)</f>
        <v>2.6814340454569314</v>
      </c>
      <c r="K21" s="4">
        <f>IF('Balance Sheet'!K18&gt;0,'Profit &amp; Loss'!K4/'Balance Sheet'!K18,0)</f>
        <v>2.1450468350837353</v>
      </c>
    </row>
    <row r="23" spans="1:11" s="2" customFormat="1" x14ac:dyDescent="0.3">
      <c r="A23" s="2" t="s">
        <v>384</v>
      </c>
      <c r="B23" s="10">
        <f>IF(SUM('Balance Sheet'!B4:B5)&gt;0,'Profit &amp; Loss'!B12/SUM('Balance Sheet'!B4:B5),"")</f>
        <v>0.1923748246004312</v>
      </c>
      <c r="C23" s="10">
        <f>IF(SUM('Balance Sheet'!C4:C5)&gt;0,'Profit &amp; Loss'!C12/SUM('Balance Sheet'!C4:C5),"")</f>
        <v>0.16810163548641663</v>
      </c>
      <c r="D23" s="10">
        <f>IF(SUM('Balance Sheet'!D4:D5)&gt;0,'Profit &amp; Loss'!D12/SUM('Balance Sheet'!D4:D5),"")</f>
        <v>0.22202684542661122</v>
      </c>
      <c r="E23" s="10">
        <f>IF(SUM('Balance Sheet'!E4:E5)&gt;0,'Profit &amp; Loss'!E12/SUM('Balance Sheet'!E4:E5),"")</f>
        <v>0.23132047807714803</v>
      </c>
      <c r="F23" s="10">
        <f>IF(SUM('Balance Sheet'!F4:F5)&gt;0,'Profit &amp; Loss'!F12/SUM('Balance Sheet'!F4:F5),"")</f>
        <v>0.22507122507122507</v>
      </c>
      <c r="G23" s="10">
        <f>IF(SUM('Balance Sheet'!G4:G5)&gt;0,'Profit &amp; Loss'!G12/SUM('Balance Sheet'!G4:G5),"")</f>
        <v>0.12978524743230627</v>
      </c>
      <c r="H23" s="10">
        <f>IF(SUM('Balance Sheet'!H4:H5)&gt;0,'Profit &amp; Loss'!H12/SUM('Balance Sheet'!H4:H5),"")</f>
        <v>0.23358056540900785</v>
      </c>
      <c r="I23" s="10">
        <f>IF(SUM('Balance Sheet'!I4:I5)&gt;0,'Profit &amp; Loss'!I12/SUM('Balance Sheet'!I4:I5),"")</f>
        <v>0.27423846088937642</v>
      </c>
      <c r="J23" s="10">
        <f>IF(SUM('Balance Sheet'!J4:J5)&gt;0,'Profit &amp; Loss'!J12/SUM('Balance Sheet'!J4:J5),"")</f>
        <v>0.37219205791546894</v>
      </c>
      <c r="K23" s="10">
        <f>IF(SUM('Balance Sheet'!K4:K5)&gt;0,'Profit &amp; Loss'!K12/SUM('Balance Sheet'!K4:K5),"")</f>
        <v>0.28707845836200963</v>
      </c>
    </row>
    <row r="24" spans="1:11" s="2" customFormat="1" x14ac:dyDescent="0.3">
      <c r="A24" s="2" t="s">
        <v>385</v>
      </c>
      <c r="B24" s="10"/>
      <c r="C24" s="10">
        <f>IF((B4+B5+B6+C4+C5+C6)&gt;0,('Profit &amp; Loss'!C10+'Profit &amp; Loss'!C9)*2/(B4+B5+B6+C4+C5+C6),"")</f>
        <v>0.20772045604439629</v>
      </c>
      <c r="D24" s="10">
        <f>IF((C4+C5+C6+D4+D5+D6)&gt;0,('Profit &amp; Loss'!D10+'Profit &amp; Loss'!D9)*2/(C4+C5+C6+D4+D5+D6),"")</f>
        <v>0.24546166551641244</v>
      </c>
      <c r="E24" s="10">
        <f>IF((D4+D5+D6+E4+E5+E6)&gt;0,('Profit &amp; Loss'!E10+'Profit &amp; Loss'!E9)*2/(D4+D5+D6+E4+E5+E6),"")</f>
        <v>0.26363518284546988</v>
      </c>
      <c r="F24" s="10">
        <f>IF((E4+E5+E6+F4+F5+F6)&gt;0,('Profit &amp; Loss'!F10+'Profit &amp; Loss'!F9)*2/(E4+E5+E6+F4+F5+F6),"")</f>
        <v>0.24264301146937572</v>
      </c>
      <c r="G24" s="10">
        <f>IF((F4+F5+F6+G4+G5+G6)&gt;0,('Profit &amp; Loss'!G10+'Profit &amp; Loss'!G9)*2/(F4+F5+F6+G4+G5+G6),"")</f>
        <v>0.13095951382350424</v>
      </c>
      <c r="H24" s="10">
        <f>IF((G4+G5+G6+H4+H5+H6)&gt;0,('Profit &amp; Loss'!H10+'Profit &amp; Loss'!H9)*2/(G4+G5+G6+H4+H5+H6),"")</f>
        <v>0.21014370814121766</v>
      </c>
      <c r="I24" s="10">
        <f>IF((H4+H5+H6+I4+I5+I6)&gt;0,('Profit &amp; Loss'!I10+'Profit &amp; Loss'!I9)*2/(H4+H5+H6+I4+I5+I6),"")</f>
        <v>0.2511906021801249</v>
      </c>
      <c r="J24" s="10">
        <f>IF((I4+I5+I6+J4+J5+J6)&gt;0,('Profit &amp; Loss'!J10+'Profit &amp; Loss'!J9)*2/(I4+I5+I6+J4+J5+J6),"")</f>
        <v>0.22722642449988079</v>
      </c>
      <c r="K24" s="10">
        <f>IF((J4+J5+J6+K4+K5+K6)&gt;0,('Profit &amp; Loss'!K10+'Profit &amp; Loss'!K9)*2/(J4+J5+J6+K4+K5+K6),"")</f>
        <v>0.19147971110568368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Normal="100" zoomScalePageLayoutView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5" sqref="A5"/>
    </sheetView>
  </sheetViews>
  <sheetFormatPr defaultColWidth="8.6640625" defaultRowHeight="14.4" x14ac:dyDescent="0.3"/>
  <cols>
    <col min="1" max="1" width="26.664062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TITAN COMPANY LTD</v>
      </c>
      <c r="E1" t="str">
        <f>UPDATE</f>
        <v/>
      </c>
      <c r="F1"/>
      <c r="J1" s="2" t="s">
        <v>0</v>
      </c>
    </row>
    <row r="3" spans="1:11" s="2" customFormat="1" x14ac:dyDescent="0.3">
      <c r="A3" s="11" t="s">
        <v>1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142</v>
      </c>
      <c r="B4" s="1">
        <f>'Data Sheet'!B82</f>
        <v>576.09</v>
      </c>
      <c r="C4" s="1">
        <f>'Data Sheet'!C82</f>
        <v>1712.3</v>
      </c>
      <c r="D4" s="1">
        <f>'Data Sheet'!D82</f>
        <v>-51.12</v>
      </c>
      <c r="E4" s="1">
        <f>'Data Sheet'!E82</f>
        <v>1242.92</v>
      </c>
      <c r="F4" s="1">
        <f>'Data Sheet'!F82</f>
        <v>-348</v>
      </c>
      <c r="G4" s="1">
        <f>'Data Sheet'!G82</f>
        <v>4139</v>
      </c>
      <c r="H4" s="1">
        <f>'Data Sheet'!H82</f>
        <v>-724</v>
      </c>
      <c r="I4" s="1">
        <f>'Data Sheet'!I82</f>
        <v>1370</v>
      </c>
      <c r="J4" s="1">
        <f>'Data Sheet'!J82</f>
        <v>1695</v>
      </c>
      <c r="K4" s="1">
        <f>'Data Sheet'!K82</f>
        <v>-541</v>
      </c>
    </row>
    <row r="5" spans="1:11" x14ac:dyDescent="0.3">
      <c r="A5" t="s">
        <v>143</v>
      </c>
      <c r="B5" s="6">
        <f>'Data Sheet'!B83</f>
        <v>-158.79</v>
      </c>
      <c r="C5" s="6">
        <f>'Data Sheet'!C83</f>
        <v>-953.15</v>
      </c>
      <c r="D5" s="6">
        <f>'Data Sheet'!D83</f>
        <v>97.62</v>
      </c>
      <c r="E5" s="6">
        <f>'Data Sheet'!E83</f>
        <v>-796.61</v>
      </c>
      <c r="F5" s="6">
        <f>'Data Sheet'!F83</f>
        <v>235</v>
      </c>
      <c r="G5" s="6">
        <f>'Data Sheet'!G83</f>
        <v>-2799</v>
      </c>
      <c r="H5" s="6">
        <f>'Data Sheet'!H83</f>
        <v>1165</v>
      </c>
      <c r="I5" s="6">
        <f>'Data Sheet'!I83</f>
        <v>-1814</v>
      </c>
      <c r="J5" s="6">
        <f>'Data Sheet'!J83</f>
        <v>-189</v>
      </c>
      <c r="K5" s="6">
        <f>'Data Sheet'!K83</f>
        <v>546</v>
      </c>
    </row>
    <row r="6" spans="1:11" x14ac:dyDescent="0.3">
      <c r="A6" t="s">
        <v>144</v>
      </c>
      <c r="B6" s="6">
        <f>'Data Sheet'!B84</f>
        <v>-504.84</v>
      </c>
      <c r="C6" s="6">
        <f>'Data Sheet'!C84</f>
        <v>-165.6</v>
      </c>
      <c r="D6" s="6">
        <f>'Data Sheet'!D84</f>
        <v>-252.45</v>
      </c>
      <c r="E6" s="6">
        <f>'Data Sheet'!E84</f>
        <v>-488.83</v>
      </c>
      <c r="F6" s="6">
        <f>'Data Sheet'!F84</f>
        <v>-242</v>
      </c>
      <c r="G6" s="6">
        <f>'Data Sheet'!G84</f>
        <v>-1234</v>
      </c>
      <c r="H6" s="6">
        <f>'Data Sheet'!H84</f>
        <v>-403</v>
      </c>
      <c r="I6" s="6">
        <f>'Data Sheet'!I84</f>
        <v>457</v>
      </c>
      <c r="J6" s="6">
        <f>'Data Sheet'!J84</f>
        <v>-1329</v>
      </c>
      <c r="K6" s="6">
        <f>'Data Sheet'!K84</f>
        <v>-7</v>
      </c>
    </row>
    <row r="7" spans="1:11" s="2" customFormat="1" x14ac:dyDescent="0.3">
      <c r="A7" s="2" t="s">
        <v>145</v>
      </c>
      <c r="B7" s="1">
        <f>'Data Sheet'!B85</f>
        <v>-87.54</v>
      </c>
      <c r="C7" s="1">
        <f>'Data Sheet'!C85</f>
        <v>593.54999999999995</v>
      </c>
      <c r="D7" s="1">
        <f>'Data Sheet'!D85</f>
        <v>-205.95</v>
      </c>
      <c r="E7" s="1">
        <f>'Data Sheet'!E85</f>
        <v>-42.52</v>
      </c>
      <c r="F7" s="1">
        <f>'Data Sheet'!F85</f>
        <v>-355</v>
      </c>
      <c r="G7" s="1">
        <f>'Data Sheet'!G85</f>
        <v>106</v>
      </c>
      <c r="H7" s="1">
        <f>'Data Sheet'!H85</f>
        <v>38</v>
      </c>
      <c r="I7" s="1">
        <f>'Data Sheet'!I85</f>
        <v>13</v>
      </c>
      <c r="J7" s="1">
        <f>'Data Sheet'!J85</f>
        <v>177</v>
      </c>
      <c r="K7" s="1">
        <f>'Data Sheet'!K85</f>
        <v>-2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28AC-78E9-4BCF-9CD7-F60F7E96A333}">
  <sheetPr>
    <tabColor theme="8" tint="0.39997558519241921"/>
  </sheetPr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Normal="100" zoomScalePageLayoutView="120" workbookViewId="0">
      <pane xSplit="1" ySplit="1" topLeftCell="B2" activePane="bottomRight" state="frozen"/>
      <selection pane="topRight" activeCell="C4" sqref="C4"/>
      <selection pane="bottomLeft" activeCell="C4" sqref="C4"/>
      <selection pane="bottomRight" activeCell="M19" sqref="M19"/>
    </sheetView>
  </sheetViews>
  <sheetFormatPr defaultColWidth="8.6640625" defaultRowHeight="14.4" x14ac:dyDescent="0.3"/>
  <cols>
    <col min="1" max="1" width="27.5546875" style="4" customWidth="1"/>
    <col min="2" max="11" width="13.44140625" style="4" bestFit="1" customWidth="1"/>
    <col min="12" max="16384" width="8.6640625" style="4"/>
  </cols>
  <sheetData>
    <row r="1" spans="1:11" s="1" customFormat="1" x14ac:dyDescent="0.3">
      <c r="A1" s="1" t="s">
        <v>386</v>
      </c>
      <c r="B1" s="1" t="s">
        <v>387</v>
      </c>
      <c r="E1" s="270" t="str">
        <f>IF(B2&lt;&gt;B3, "A NEW VERSION OF THE WORKSHEET IS AVAILABLE", "")</f>
        <v/>
      </c>
      <c r="F1" s="270"/>
      <c r="G1" s="270"/>
      <c r="H1" s="270"/>
      <c r="I1" s="270"/>
      <c r="J1" s="270"/>
      <c r="K1" s="270"/>
    </row>
    <row r="2" spans="1:11" x14ac:dyDescent="0.3">
      <c r="A2" s="1" t="s">
        <v>388</v>
      </c>
      <c r="B2" s="4">
        <v>2.1</v>
      </c>
      <c r="E2" s="271" t="s">
        <v>389</v>
      </c>
      <c r="F2" s="271"/>
      <c r="G2" s="271"/>
      <c r="H2" s="271"/>
      <c r="I2" s="271"/>
      <c r="J2" s="271"/>
      <c r="K2" s="271"/>
    </row>
    <row r="3" spans="1:11" x14ac:dyDescent="0.3">
      <c r="A3" s="1" t="s">
        <v>390</v>
      </c>
      <c r="B3" s="4">
        <v>2.1</v>
      </c>
    </row>
    <row r="4" spans="1:11" x14ac:dyDescent="0.3">
      <c r="A4" s="1"/>
    </row>
    <row r="5" spans="1:11" x14ac:dyDescent="0.3">
      <c r="A5" s="1" t="s">
        <v>391</v>
      </c>
    </row>
    <row r="6" spans="1:11" x14ac:dyDescent="0.3">
      <c r="A6" s="4" t="s">
        <v>392</v>
      </c>
      <c r="B6" s="4">
        <f>IF(B9&gt;0, B9/B8, 0)</f>
        <v>88.766701208167476</v>
      </c>
    </row>
    <row r="7" spans="1:11" x14ac:dyDescent="0.3">
      <c r="A7" s="4" t="s">
        <v>393</v>
      </c>
      <c r="B7">
        <v>1</v>
      </c>
    </row>
    <row r="8" spans="1:11" x14ac:dyDescent="0.3">
      <c r="A8" s="4" t="s">
        <v>394</v>
      </c>
      <c r="B8">
        <v>4246.1000000000004</v>
      </c>
    </row>
    <row r="9" spans="1:11" x14ac:dyDescent="0.3">
      <c r="A9" s="4" t="s">
        <v>313</v>
      </c>
      <c r="B9">
        <v>376912.29</v>
      </c>
    </row>
    <row r="15" spans="1:11" x14ac:dyDescent="0.3">
      <c r="A15" s="1" t="s">
        <v>395</v>
      </c>
    </row>
    <row r="16" spans="1:11" s="18" customFormat="1" x14ac:dyDescent="0.3">
      <c r="A16" s="17" t="s">
        <v>396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5</v>
      </c>
      <c r="B17">
        <v>11275.89</v>
      </c>
      <c r="C17">
        <v>13260.83</v>
      </c>
      <c r="D17">
        <v>16119.77</v>
      </c>
      <c r="E17">
        <v>19778.52</v>
      </c>
      <c r="F17">
        <v>21052</v>
      </c>
      <c r="G17">
        <v>21644</v>
      </c>
      <c r="H17">
        <v>28799</v>
      </c>
      <c r="I17">
        <v>40575</v>
      </c>
      <c r="J17">
        <v>51084</v>
      </c>
      <c r="K17">
        <v>60456</v>
      </c>
    </row>
    <row r="18" spans="1:11" s="6" customFormat="1" x14ac:dyDescent="0.3">
      <c r="A18" s="4" t="s">
        <v>397</v>
      </c>
      <c r="B18">
        <v>8372.17</v>
      </c>
      <c r="C18">
        <v>9821.14</v>
      </c>
      <c r="D18">
        <v>12664.83</v>
      </c>
      <c r="E18">
        <v>15170.66</v>
      </c>
      <c r="F18">
        <v>16033</v>
      </c>
      <c r="G18">
        <v>16292</v>
      </c>
      <c r="H18">
        <v>26436</v>
      </c>
      <c r="I18">
        <v>32589</v>
      </c>
      <c r="J18">
        <v>42103</v>
      </c>
      <c r="K18">
        <v>55271</v>
      </c>
    </row>
    <row r="19" spans="1:11" s="6" customFormat="1" x14ac:dyDescent="0.3">
      <c r="A19" s="4" t="s">
        <v>398</v>
      </c>
      <c r="B19">
        <v>191.43</v>
      </c>
      <c r="C19">
        <v>313.70999999999998</v>
      </c>
      <c r="D19">
        <v>978.61</v>
      </c>
      <c r="E19">
        <v>776.41</v>
      </c>
      <c r="F19">
        <v>878</v>
      </c>
      <c r="G19">
        <v>-122</v>
      </c>
      <c r="H19">
        <v>4795</v>
      </c>
      <c r="I19">
        <v>2234</v>
      </c>
      <c r="J19">
        <v>2671</v>
      </c>
      <c r="K19">
        <v>7815</v>
      </c>
    </row>
    <row r="20" spans="1:11" s="6" customFormat="1" x14ac:dyDescent="0.3">
      <c r="A20" s="4" t="s">
        <v>399</v>
      </c>
      <c r="B20">
        <v>41.2</v>
      </c>
      <c r="C20">
        <v>43.84</v>
      </c>
      <c r="D20">
        <v>45.32</v>
      </c>
      <c r="E20">
        <v>48.51</v>
      </c>
      <c r="F20">
        <v>52</v>
      </c>
      <c r="G20">
        <v>37</v>
      </c>
      <c r="H20">
        <v>45</v>
      </c>
      <c r="I20">
        <v>59</v>
      </c>
      <c r="J20">
        <v>71</v>
      </c>
      <c r="K20">
        <v>78</v>
      </c>
    </row>
    <row r="21" spans="1:11" s="6" customFormat="1" x14ac:dyDescent="0.3">
      <c r="A21" s="4" t="s">
        <v>400</v>
      </c>
      <c r="B21">
        <v>261.7</v>
      </c>
      <c r="C21">
        <v>160.41999999999999</v>
      </c>
      <c r="D21">
        <v>124.83</v>
      </c>
      <c r="E21">
        <v>193.28</v>
      </c>
      <c r="F21">
        <v>215</v>
      </c>
      <c r="G21">
        <v>141</v>
      </c>
      <c r="H21">
        <v>183</v>
      </c>
      <c r="I21">
        <v>225</v>
      </c>
      <c r="J21">
        <v>286</v>
      </c>
      <c r="K21">
        <v>326</v>
      </c>
    </row>
    <row r="22" spans="1:11" s="6" customFormat="1" x14ac:dyDescent="0.3">
      <c r="A22" s="4" t="s">
        <v>401</v>
      </c>
      <c r="B22">
        <v>699.69</v>
      </c>
      <c r="C22">
        <v>894.32</v>
      </c>
      <c r="D22">
        <v>906.26</v>
      </c>
      <c r="E22">
        <v>1024.44</v>
      </c>
      <c r="F22">
        <v>1204</v>
      </c>
      <c r="G22">
        <v>1069</v>
      </c>
      <c r="H22">
        <v>1356</v>
      </c>
      <c r="I22">
        <v>1656</v>
      </c>
      <c r="J22">
        <v>1875</v>
      </c>
      <c r="K22">
        <v>2164</v>
      </c>
    </row>
    <row r="23" spans="1:11" s="6" customFormat="1" x14ac:dyDescent="0.3">
      <c r="A23" s="4" t="s">
        <v>402</v>
      </c>
      <c r="B23">
        <v>846.43</v>
      </c>
      <c r="C23">
        <v>1211.1600000000001</v>
      </c>
      <c r="D23">
        <v>1277.81</v>
      </c>
      <c r="E23">
        <v>1454.32</v>
      </c>
      <c r="F23">
        <v>1470</v>
      </c>
      <c r="G23">
        <v>1029</v>
      </c>
      <c r="H23">
        <v>1697</v>
      </c>
      <c r="I23">
        <v>2715</v>
      </c>
      <c r="J23">
        <v>3249</v>
      </c>
      <c r="K23">
        <v>3488</v>
      </c>
    </row>
    <row r="24" spans="1:11" s="6" customFormat="1" x14ac:dyDescent="0.3">
      <c r="A24" s="4" t="s">
        <v>403</v>
      </c>
      <c r="B24">
        <v>306.8</v>
      </c>
      <c r="C24">
        <v>279.76</v>
      </c>
      <c r="D24">
        <v>435.13</v>
      </c>
      <c r="E24">
        <v>669.93</v>
      </c>
      <c r="F24">
        <v>493</v>
      </c>
      <c r="G24">
        <v>1229</v>
      </c>
      <c r="H24">
        <v>533</v>
      </c>
      <c r="I24">
        <v>683</v>
      </c>
      <c r="J24">
        <v>879</v>
      </c>
      <c r="K24">
        <v>1250</v>
      </c>
    </row>
    <row r="25" spans="1:11" s="6" customFormat="1" x14ac:dyDescent="0.3">
      <c r="A25" s="6" t="s">
        <v>8</v>
      </c>
      <c r="B25">
        <v>69.33</v>
      </c>
      <c r="C25">
        <v>-42.38</v>
      </c>
      <c r="D25">
        <v>69.930000000000007</v>
      </c>
      <c r="E25">
        <v>178.48</v>
      </c>
      <c r="F25">
        <v>153</v>
      </c>
      <c r="G25">
        <v>180</v>
      </c>
      <c r="H25">
        <v>177</v>
      </c>
      <c r="I25">
        <v>306</v>
      </c>
      <c r="J25">
        <v>534</v>
      </c>
      <c r="K25">
        <v>487</v>
      </c>
    </row>
    <row r="26" spans="1:11" s="6" customFormat="1" x14ac:dyDescent="0.3">
      <c r="A26" s="6" t="s">
        <v>9</v>
      </c>
      <c r="B26">
        <v>98.19</v>
      </c>
      <c r="C26">
        <v>110.53</v>
      </c>
      <c r="D26">
        <v>131.43</v>
      </c>
      <c r="E26">
        <v>162.84</v>
      </c>
      <c r="F26">
        <v>348</v>
      </c>
      <c r="G26">
        <v>375</v>
      </c>
      <c r="H26">
        <v>399</v>
      </c>
      <c r="I26">
        <v>441</v>
      </c>
      <c r="J26">
        <v>584</v>
      </c>
      <c r="K26">
        <v>693</v>
      </c>
    </row>
    <row r="27" spans="1:11" s="6" customFormat="1" x14ac:dyDescent="0.3">
      <c r="A27" s="6" t="s">
        <v>10</v>
      </c>
      <c r="B27">
        <v>42.36</v>
      </c>
      <c r="C27">
        <v>37.74</v>
      </c>
      <c r="D27">
        <v>52.92</v>
      </c>
      <c r="E27">
        <v>52.54</v>
      </c>
      <c r="F27">
        <v>166</v>
      </c>
      <c r="G27">
        <v>203</v>
      </c>
      <c r="H27">
        <v>218</v>
      </c>
      <c r="I27">
        <v>300</v>
      </c>
      <c r="J27">
        <v>619</v>
      </c>
      <c r="K27">
        <v>953</v>
      </c>
    </row>
    <row r="28" spans="1:11" s="6" customFormat="1" x14ac:dyDescent="0.3">
      <c r="A28" s="6" t="s">
        <v>11</v>
      </c>
      <c r="B28">
        <v>868.11</v>
      </c>
      <c r="C28">
        <v>973.25</v>
      </c>
      <c r="D28">
        <v>1529.78</v>
      </c>
      <c r="E28">
        <v>1956.89</v>
      </c>
      <c r="F28">
        <v>2102</v>
      </c>
      <c r="G28">
        <v>1327</v>
      </c>
      <c r="H28">
        <v>2904</v>
      </c>
      <c r="I28">
        <v>4447</v>
      </c>
      <c r="J28">
        <v>4623</v>
      </c>
      <c r="K28">
        <v>4535</v>
      </c>
    </row>
    <row r="29" spans="1:11" s="6" customFormat="1" x14ac:dyDescent="0.3">
      <c r="A29" s="6" t="s">
        <v>12</v>
      </c>
      <c r="B29">
        <v>191.59</v>
      </c>
      <c r="C29">
        <v>275.97000000000003</v>
      </c>
      <c r="D29">
        <v>427.87</v>
      </c>
      <c r="E29">
        <v>568.24</v>
      </c>
      <c r="F29">
        <v>609</v>
      </c>
      <c r="G29">
        <v>353</v>
      </c>
      <c r="H29">
        <v>706</v>
      </c>
      <c r="I29">
        <v>1173</v>
      </c>
      <c r="J29">
        <v>1127</v>
      </c>
      <c r="K29">
        <v>1198</v>
      </c>
    </row>
    <row r="30" spans="1:11" s="6" customFormat="1" x14ac:dyDescent="0.3">
      <c r="A30" s="6" t="s">
        <v>13</v>
      </c>
      <c r="B30">
        <v>674.52</v>
      </c>
      <c r="C30">
        <v>711.47</v>
      </c>
      <c r="D30">
        <v>1130.0899999999999</v>
      </c>
      <c r="E30">
        <v>1404.15</v>
      </c>
      <c r="F30">
        <v>1501</v>
      </c>
      <c r="G30">
        <v>973</v>
      </c>
      <c r="H30">
        <v>2173</v>
      </c>
      <c r="I30">
        <v>3250</v>
      </c>
      <c r="J30">
        <v>3496</v>
      </c>
      <c r="K30">
        <v>3337</v>
      </c>
    </row>
    <row r="31" spans="1:11" s="6" customFormat="1" x14ac:dyDescent="0.3">
      <c r="A31" s="6" t="s">
        <v>404</v>
      </c>
      <c r="B31">
        <v>195.32</v>
      </c>
      <c r="C31">
        <v>230.83</v>
      </c>
      <c r="D31">
        <v>332.92</v>
      </c>
      <c r="E31">
        <v>443.9</v>
      </c>
      <c r="F31">
        <v>356</v>
      </c>
      <c r="G31">
        <v>356</v>
      </c>
      <c r="H31">
        <v>667.5</v>
      </c>
      <c r="I31">
        <v>890</v>
      </c>
      <c r="J31">
        <v>979</v>
      </c>
      <c r="K31">
        <v>979</v>
      </c>
    </row>
    <row r="32" spans="1:11" s="6" customFormat="1" x14ac:dyDescent="0.3"/>
    <row r="33" spans="1:11" x14ac:dyDescent="0.3">
      <c r="A33" s="1" t="s">
        <v>109</v>
      </c>
      <c r="B33" s="4">
        <f t="shared" ref="B33:J33" si="0">B30+B29+B27+B26</f>
        <v>1006.6600000000001</v>
      </c>
      <c r="C33" s="4">
        <f t="shared" si="0"/>
        <v>1135.71</v>
      </c>
      <c r="D33" s="4">
        <f t="shared" si="0"/>
        <v>1742.3100000000002</v>
      </c>
      <c r="E33" s="4">
        <f t="shared" si="0"/>
        <v>2187.77</v>
      </c>
      <c r="F33" s="4">
        <f t="shared" si="0"/>
        <v>2624</v>
      </c>
      <c r="G33" s="4">
        <f t="shared" si="0"/>
        <v>1904</v>
      </c>
      <c r="H33" s="4">
        <f t="shared" si="0"/>
        <v>3496</v>
      </c>
      <c r="I33" s="4">
        <f t="shared" si="0"/>
        <v>5164</v>
      </c>
      <c r="J33" s="4">
        <f t="shared" si="0"/>
        <v>5826</v>
      </c>
      <c r="K33" s="4">
        <f>K30+K29+K27+K26</f>
        <v>6181</v>
      </c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405</v>
      </c>
    </row>
    <row r="41" spans="1:11" s="18" customFormat="1" x14ac:dyDescent="0.3">
      <c r="A41" s="17" t="s">
        <v>396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">
      <c r="A42" s="6" t="s">
        <v>5</v>
      </c>
      <c r="B42">
        <v>12529</v>
      </c>
      <c r="C42">
        <v>14164</v>
      </c>
      <c r="D42">
        <v>12494</v>
      </c>
      <c r="E42">
        <v>13266</v>
      </c>
      <c r="F42">
        <v>14534</v>
      </c>
      <c r="G42">
        <v>17740</v>
      </c>
      <c r="H42">
        <v>14916</v>
      </c>
      <c r="I42">
        <v>16523</v>
      </c>
      <c r="J42">
        <v>18725</v>
      </c>
      <c r="K42">
        <v>25416</v>
      </c>
    </row>
    <row r="43" spans="1:11" s="6" customFormat="1" x14ac:dyDescent="0.3">
      <c r="A43" s="6" t="s">
        <v>6</v>
      </c>
      <c r="B43">
        <v>11118</v>
      </c>
      <c r="C43">
        <v>12599</v>
      </c>
      <c r="D43">
        <v>11303</v>
      </c>
      <c r="E43">
        <v>12019</v>
      </c>
      <c r="F43">
        <v>13298</v>
      </c>
      <c r="G43">
        <v>16066</v>
      </c>
      <c r="H43">
        <v>13379</v>
      </c>
      <c r="I43">
        <v>14693</v>
      </c>
      <c r="J43">
        <v>16850</v>
      </c>
      <c r="K43">
        <v>22703</v>
      </c>
    </row>
    <row r="44" spans="1:11" s="6" customFormat="1" x14ac:dyDescent="0.3">
      <c r="A44" s="6" t="s">
        <v>8</v>
      </c>
      <c r="B44">
        <v>125</v>
      </c>
      <c r="C44">
        <v>136</v>
      </c>
      <c r="D44">
        <v>159</v>
      </c>
      <c r="E44">
        <v>120</v>
      </c>
      <c r="F44">
        <v>123</v>
      </c>
      <c r="G44">
        <v>128</v>
      </c>
      <c r="H44">
        <v>116</v>
      </c>
      <c r="I44">
        <v>105</v>
      </c>
      <c r="J44">
        <v>113</v>
      </c>
      <c r="K44">
        <v>-1</v>
      </c>
    </row>
    <row r="45" spans="1:11" s="6" customFormat="1" x14ac:dyDescent="0.3">
      <c r="A45" s="6" t="s">
        <v>9</v>
      </c>
      <c r="B45">
        <v>144</v>
      </c>
      <c r="C45">
        <v>154</v>
      </c>
      <c r="D45">
        <v>158</v>
      </c>
      <c r="E45">
        <v>164</v>
      </c>
      <c r="F45">
        <v>171</v>
      </c>
      <c r="G45">
        <v>175</v>
      </c>
      <c r="H45">
        <v>183</v>
      </c>
      <c r="I45">
        <v>184</v>
      </c>
      <c r="J45">
        <v>189</v>
      </c>
      <c r="K45">
        <v>207</v>
      </c>
    </row>
    <row r="46" spans="1:11" s="6" customFormat="1" x14ac:dyDescent="0.3">
      <c r="A46" s="6" t="s">
        <v>10</v>
      </c>
      <c r="B46">
        <v>140</v>
      </c>
      <c r="C46">
        <v>169</v>
      </c>
      <c r="D46">
        <v>201</v>
      </c>
      <c r="E46">
        <v>230</v>
      </c>
      <c r="F46">
        <v>240</v>
      </c>
      <c r="G46">
        <v>231</v>
      </c>
      <c r="H46">
        <v>252</v>
      </c>
      <c r="I46">
        <v>271</v>
      </c>
      <c r="J46">
        <v>277</v>
      </c>
      <c r="K46">
        <v>282</v>
      </c>
    </row>
    <row r="47" spans="1:11" s="6" customFormat="1" x14ac:dyDescent="0.3">
      <c r="A47" s="6" t="s">
        <v>11</v>
      </c>
      <c r="B47">
        <v>1252</v>
      </c>
      <c r="C47">
        <v>1378</v>
      </c>
      <c r="D47">
        <v>991</v>
      </c>
      <c r="E47">
        <v>973</v>
      </c>
      <c r="F47">
        <v>948</v>
      </c>
      <c r="G47">
        <v>1396</v>
      </c>
      <c r="H47">
        <v>1218</v>
      </c>
      <c r="I47">
        <v>1480</v>
      </c>
      <c r="J47">
        <v>1522</v>
      </c>
      <c r="K47">
        <v>2223</v>
      </c>
    </row>
    <row r="48" spans="1:11" s="6" customFormat="1" x14ac:dyDescent="0.3">
      <c r="A48" s="6" t="s">
        <v>12</v>
      </c>
      <c r="B48">
        <v>336</v>
      </c>
      <c r="C48">
        <v>325</v>
      </c>
      <c r="D48">
        <v>220</v>
      </c>
      <c r="E48">
        <v>258</v>
      </c>
      <c r="F48">
        <v>244</v>
      </c>
      <c r="G48">
        <v>349</v>
      </c>
      <c r="H48">
        <v>347</v>
      </c>
      <c r="I48">
        <v>389</v>
      </c>
      <c r="J48">
        <v>402</v>
      </c>
      <c r="K48">
        <v>539</v>
      </c>
    </row>
    <row r="49" spans="1:11" s="6" customFormat="1" x14ac:dyDescent="0.3">
      <c r="A49" s="6" t="s">
        <v>13</v>
      </c>
      <c r="B49">
        <v>915</v>
      </c>
      <c r="C49">
        <v>1053</v>
      </c>
      <c r="D49">
        <v>771</v>
      </c>
      <c r="E49">
        <v>715</v>
      </c>
      <c r="F49">
        <v>704</v>
      </c>
      <c r="G49">
        <v>1047</v>
      </c>
      <c r="H49">
        <v>871</v>
      </c>
      <c r="I49">
        <v>1091</v>
      </c>
      <c r="J49">
        <v>1120</v>
      </c>
      <c r="K49">
        <v>1684</v>
      </c>
    </row>
    <row r="50" spans="1:11" x14ac:dyDescent="0.3">
      <c r="A50" s="6" t="s">
        <v>7</v>
      </c>
      <c r="B50">
        <v>1411</v>
      </c>
      <c r="C50">
        <v>1565</v>
      </c>
      <c r="D50">
        <v>1191</v>
      </c>
      <c r="E50">
        <v>1247</v>
      </c>
      <c r="F50">
        <v>1236</v>
      </c>
      <c r="G50">
        <v>1674</v>
      </c>
      <c r="H50">
        <v>1537</v>
      </c>
      <c r="I50">
        <v>1830</v>
      </c>
      <c r="J50">
        <v>1875</v>
      </c>
      <c r="K50">
        <v>2713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406</v>
      </c>
    </row>
    <row r="56" spans="1:11" s="18" customFormat="1" x14ac:dyDescent="0.3">
      <c r="A56" s="17" t="s">
        <v>396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125</v>
      </c>
      <c r="B57">
        <v>88.78</v>
      </c>
      <c r="C57">
        <v>88.78</v>
      </c>
      <c r="D57">
        <v>88.78</v>
      </c>
      <c r="E57">
        <v>88.78</v>
      </c>
      <c r="F57">
        <v>89</v>
      </c>
      <c r="G57">
        <v>89</v>
      </c>
      <c r="H57">
        <v>89</v>
      </c>
      <c r="I57">
        <v>89</v>
      </c>
      <c r="J57">
        <v>89</v>
      </c>
      <c r="K57">
        <v>89</v>
      </c>
    </row>
    <row r="58" spans="1:11" x14ac:dyDescent="0.3">
      <c r="A58" s="6" t="s">
        <v>126</v>
      </c>
      <c r="B58">
        <v>3417.5</v>
      </c>
      <c r="C58">
        <v>4143.6000000000004</v>
      </c>
      <c r="D58">
        <v>5001.1000000000004</v>
      </c>
      <c r="E58">
        <v>5981.37</v>
      </c>
      <c r="F58">
        <v>6580</v>
      </c>
      <c r="G58">
        <v>7408</v>
      </c>
      <c r="H58">
        <v>9214</v>
      </c>
      <c r="I58">
        <v>11762</v>
      </c>
      <c r="J58">
        <v>9304</v>
      </c>
      <c r="K58">
        <v>11535</v>
      </c>
    </row>
    <row r="59" spans="1:11" x14ac:dyDescent="0.3">
      <c r="A59" s="6" t="s">
        <v>127</v>
      </c>
      <c r="B59">
        <v>113.05</v>
      </c>
      <c r="C59">
        <v>1882.43</v>
      </c>
      <c r="D59">
        <v>1691.01</v>
      </c>
      <c r="E59">
        <v>2392.98</v>
      </c>
      <c r="F59">
        <v>3562</v>
      </c>
      <c r="G59">
        <v>5638</v>
      </c>
      <c r="H59">
        <v>7275</v>
      </c>
      <c r="I59">
        <v>9367</v>
      </c>
      <c r="J59">
        <v>15528</v>
      </c>
      <c r="K59">
        <v>20777</v>
      </c>
    </row>
    <row r="60" spans="1:11" x14ac:dyDescent="0.3">
      <c r="A60" s="6" t="s">
        <v>128</v>
      </c>
      <c r="B60">
        <v>2722.58</v>
      </c>
      <c r="C60">
        <v>2292.7600000000002</v>
      </c>
      <c r="D60">
        <v>2740.15</v>
      </c>
      <c r="E60">
        <v>3246.71</v>
      </c>
      <c r="F60">
        <v>3313</v>
      </c>
      <c r="G60">
        <v>3309</v>
      </c>
      <c r="H60">
        <v>4610</v>
      </c>
      <c r="I60">
        <v>5802</v>
      </c>
      <c r="J60">
        <v>6626</v>
      </c>
      <c r="K60">
        <v>8244</v>
      </c>
    </row>
    <row r="61" spans="1:11" s="1" customFormat="1" x14ac:dyDescent="0.3">
      <c r="A61" s="1" t="s">
        <v>60</v>
      </c>
      <c r="B61">
        <v>6341.91</v>
      </c>
      <c r="C61">
        <v>8407.57</v>
      </c>
      <c r="D61">
        <v>9521.0400000000009</v>
      </c>
      <c r="E61">
        <v>11709.84</v>
      </c>
      <c r="F61">
        <v>13544</v>
      </c>
      <c r="G61">
        <v>16444</v>
      </c>
      <c r="H61">
        <v>21188</v>
      </c>
      <c r="I61">
        <v>27020</v>
      </c>
      <c r="J61">
        <v>31547</v>
      </c>
      <c r="K61">
        <v>40645</v>
      </c>
    </row>
    <row r="62" spans="1:11" x14ac:dyDescent="0.3">
      <c r="A62" s="6" t="s">
        <v>347</v>
      </c>
      <c r="B62">
        <v>770.54</v>
      </c>
      <c r="C62">
        <v>1188.72</v>
      </c>
      <c r="D62">
        <v>1473.81</v>
      </c>
      <c r="E62">
        <v>1566.63</v>
      </c>
      <c r="F62">
        <v>2633</v>
      </c>
      <c r="G62">
        <v>2523</v>
      </c>
      <c r="H62">
        <v>2544</v>
      </c>
      <c r="I62">
        <v>2998</v>
      </c>
      <c r="J62">
        <v>3709</v>
      </c>
      <c r="K62">
        <v>4062</v>
      </c>
    </row>
    <row r="63" spans="1:11" x14ac:dyDescent="0.3">
      <c r="A63" s="6" t="s">
        <v>131</v>
      </c>
      <c r="B63">
        <v>106.71</v>
      </c>
      <c r="C63">
        <v>152.07</v>
      </c>
      <c r="D63">
        <v>43.37</v>
      </c>
      <c r="E63">
        <v>31.77</v>
      </c>
      <c r="F63">
        <v>18</v>
      </c>
      <c r="G63">
        <v>32</v>
      </c>
      <c r="H63">
        <v>85</v>
      </c>
      <c r="I63">
        <v>144</v>
      </c>
      <c r="J63">
        <v>97</v>
      </c>
      <c r="K63">
        <v>105</v>
      </c>
    </row>
    <row r="64" spans="1:11" x14ac:dyDescent="0.3">
      <c r="A64" s="6" t="s">
        <v>132</v>
      </c>
      <c r="B64">
        <v>30.41</v>
      </c>
      <c r="C64">
        <v>430.73</v>
      </c>
      <c r="D64">
        <v>35.99</v>
      </c>
      <c r="E64">
        <v>108.42</v>
      </c>
      <c r="F64">
        <v>158</v>
      </c>
      <c r="G64">
        <v>2824</v>
      </c>
      <c r="H64">
        <v>294</v>
      </c>
      <c r="I64">
        <v>2515</v>
      </c>
      <c r="J64">
        <v>2345</v>
      </c>
      <c r="K64">
        <v>1988</v>
      </c>
    </row>
    <row r="65" spans="1:11" x14ac:dyDescent="0.3">
      <c r="A65" s="6" t="s">
        <v>133</v>
      </c>
      <c r="B65">
        <v>5434.25</v>
      </c>
      <c r="C65">
        <v>6636.05</v>
      </c>
      <c r="D65">
        <v>7967.87</v>
      </c>
      <c r="E65">
        <v>10003.02</v>
      </c>
      <c r="F65">
        <v>10735</v>
      </c>
      <c r="G65">
        <v>11065</v>
      </c>
      <c r="H65">
        <v>18265</v>
      </c>
      <c r="I65">
        <v>21363</v>
      </c>
      <c r="J65">
        <v>25396</v>
      </c>
      <c r="K65">
        <v>34490</v>
      </c>
    </row>
    <row r="66" spans="1:11" s="1" customFormat="1" x14ac:dyDescent="0.3">
      <c r="A66" s="1" t="s">
        <v>60</v>
      </c>
      <c r="B66">
        <v>6341.91</v>
      </c>
      <c r="C66">
        <v>8407.57</v>
      </c>
      <c r="D66">
        <v>9521.0400000000009</v>
      </c>
      <c r="E66">
        <v>11709.84</v>
      </c>
      <c r="F66">
        <v>13544</v>
      </c>
      <c r="G66">
        <v>16444</v>
      </c>
      <c r="H66">
        <v>21188</v>
      </c>
      <c r="I66">
        <v>27020</v>
      </c>
      <c r="J66">
        <v>31547</v>
      </c>
      <c r="K66">
        <v>40645</v>
      </c>
    </row>
    <row r="67" spans="1:11" s="6" customFormat="1" x14ac:dyDescent="0.3">
      <c r="A67" s="6" t="s">
        <v>135</v>
      </c>
      <c r="B67">
        <v>192.5</v>
      </c>
      <c r="C67">
        <v>207.6</v>
      </c>
      <c r="D67">
        <v>295.69</v>
      </c>
      <c r="E67">
        <v>420.45</v>
      </c>
      <c r="F67">
        <v>312</v>
      </c>
      <c r="G67">
        <v>366</v>
      </c>
      <c r="H67">
        <v>565</v>
      </c>
      <c r="I67">
        <v>674</v>
      </c>
      <c r="J67">
        <v>1018</v>
      </c>
      <c r="K67">
        <v>1068</v>
      </c>
    </row>
    <row r="68" spans="1:11" x14ac:dyDescent="0.3">
      <c r="A68" s="6" t="s">
        <v>136</v>
      </c>
      <c r="B68">
        <v>4447.1499999999996</v>
      </c>
      <c r="C68">
        <v>4925.74</v>
      </c>
      <c r="D68">
        <v>5924.84</v>
      </c>
      <c r="E68">
        <v>7038.82</v>
      </c>
      <c r="F68">
        <v>8103</v>
      </c>
      <c r="G68">
        <v>8408</v>
      </c>
      <c r="H68">
        <v>13609</v>
      </c>
      <c r="I68">
        <v>16584</v>
      </c>
      <c r="J68">
        <v>19051</v>
      </c>
      <c r="K68">
        <v>28184</v>
      </c>
    </row>
    <row r="69" spans="1:11" x14ac:dyDescent="0.3">
      <c r="A69" s="4" t="s">
        <v>137</v>
      </c>
      <c r="B69">
        <v>116.35</v>
      </c>
      <c r="C69">
        <v>778.93</v>
      </c>
      <c r="D69">
        <v>617.91</v>
      </c>
      <c r="E69">
        <v>1066.48</v>
      </c>
      <c r="F69">
        <v>381</v>
      </c>
      <c r="G69">
        <v>560</v>
      </c>
      <c r="H69">
        <v>1573</v>
      </c>
      <c r="I69">
        <v>1343</v>
      </c>
      <c r="J69">
        <v>1526</v>
      </c>
      <c r="K69">
        <v>1584</v>
      </c>
    </row>
    <row r="70" spans="1:11" x14ac:dyDescent="0.3">
      <c r="A70" s="4" t="s">
        <v>407</v>
      </c>
      <c r="B70">
        <v>887786160</v>
      </c>
      <c r="C70">
        <v>887786160</v>
      </c>
      <c r="D70">
        <v>887786160</v>
      </c>
      <c r="E70">
        <v>887786160</v>
      </c>
      <c r="F70">
        <v>887786160</v>
      </c>
      <c r="G70">
        <v>887786160</v>
      </c>
      <c r="H70">
        <v>887786160</v>
      </c>
      <c r="I70">
        <v>890000000</v>
      </c>
      <c r="J70">
        <v>890000000</v>
      </c>
      <c r="K70">
        <v>890000000</v>
      </c>
    </row>
    <row r="71" spans="1:11" x14ac:dyDescent="0.3">
      <c r="A71" s="4" t="s">
        <v>408</v>
      </c>
      <c r="D71"/>
      <c r="E71"/>
      <c r="F71"/>
    </row>
    <row r="72" spans="1:11" x14ac:dyDescent="0.3">
      <c r="A72" s="4" t="s">
        <v>409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4" t="s">
        <v>410</v>
      </c>
      <c r="B74" s="4">
        <f>B65-SUM(B67:B69)</f>
        <v>678.25</v>
      </c>
      <c r="C74" s="4">
        <f t="shared" ref="C74:K74" si="1">C65-SUM(C67:C69)</f>
        <v>723.77999999999975</v>
      </c>
      <c r="D74" s="4">
        <f t="shared" si="1"/>
        <v>1129.4300000000003</v>
      </c>
      <c r="E74" s="4">
        <f t="shared" si="1"/>
        <v>1477.2700000000004</v>
      </c>
      <c r="F74" s="4">
        <f t="shared" si="1"/>
        <v>1939</v>
      </c>
      <c r="G74" s="4">
        <f t="shared" si="1"/>
        <v>1731</v>
      </c>
      <c r="H74" s="4">
        <f t="shared" si="1"/>
        <v>2518</v>
      </c>
      <c r="I74" s="4">
        <f t="shared" si="1"/>
        <v>2762</v>
      </c>
      <c r="J74" s="4">
        <f t="shared" si="1"/>
        <v>3801</v>
      </c>
      <c r="K74" s="4">
        <f t="shared" si="1"/>
        <v>3654</v>
      </c>
    </row>
    <row r="75" spans="1:11" x14ac:dyDescent="0.3">
      <c r="A75" s="6"/>
    </row>
    <row r="76" spans="1:11" x14ac:dyDescent="0.3">
      <c r="A76" s="6" t="s">
        <v>139</v>
      </c>
      <c r="B76" s="4">
        <f>B61</f>
        <v>6341.91</v>
      </c>
      <c r="C76" s="4">
        <f>C61</f>
        <v>8407.57</v>
      </c>
      <c r="D76" s="4">
        <f t="shared" ref="D76:K76" si="2">D61</f>
        <v>9521.0400000000009</v>
      </c>
      <c r="E76" s="4">
        <f t="shared" si="2"/>
        <v>11709.84</v>
      </c>
      <c r="F76" s="4">
        <f t="shared" si="2"/>
        <v>13544</v>
      </c>
      <c r="G76" s="4">
        <f t="shared" si="2"/>
        <v>16444</v>
      </c>
      <c r="H76" s="4">
        <f t="shared" si="2"/>
        <v>21188</v>
      </c>
      <c r="I76" s="4">
        <f t="shared" si="2"/>
        <v>27020</v>
      </c>
      <c r="J76" s="4">
        <f t="shared" si="2"/>
        <v>31547</v>
      </c>
      <c r="K76" s="4">
        <f t="shared" si="2"/>
        <v>40645</v>
      </c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411</v>
      </c>
    </row>
    <row r="81" spans="1:11" s="18" customFormat="1" x14ac:dyDescent="0.3">
      <c r="A81" s="17" t="s">
        <v>396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142</v>
      </c>
      <c r="B82">
        <v>576.09</v>
      </c>
      <c r="C82">
        <v>1712.3</v>
      </c>
      <c r="D82">
        <v>-51.12</v>
      </c>
      <c r="E82">
        <v>1242.92</v>
      </c>
      <c r="F82">
        <v>-348</v>
      </c>
      <c r="G82">
        <v>4139</v>
      </c>
      <c r="H82">
        <v>-724</v>
      </c>
      <c r="I82">
        <v>1370</v>
      </c>
      <c r="J82">
        <v>1695</v>
      </c>
      <c r="K82">
        <v>-541</v>
      </c>
    </row>
    <row r="83" spans="1:11" s="6" customFormat="1" x14ac:dyDescent="0.3">
      <c r="A83" s="6" t="s">
        <v>143</v>
      </c>
      <c r="B83">
        <v>-158.79</v>
      </c>
      <c r="C83">
        <v>-953.15</v>
      </c>
      <c r="D83">
        <v>97.62</v>
      </c>
      <c r="E83">
        <v>-796.61</v>
      </c>
      <c r="F83">
        <v>235</v>
      </c>
      <c r="G83">
        <v>-2799</v>
      </c>
      <c r="H83">
        <v>1165</v>
      </c>
      <c r="I83">
        <v>-1814</v>
      </c>
      <c r="J83">
        <v>-189</v>
      </c>
      <c r="K83">
        <v>546</v>
      </c>
    </row>
    <row r="84" spans="1:11" s="6" customFormat="1" x14ac:dyDescent="0.3">
      <c r="A84" s="6" t="s">
        <v>144</v>
      </c>
      <c r="B84">
        <v>-504.84</v>
      </c>
      <c r="C84">
        <v>-165.6</v>
      </c>
      <c r="D84">
        <v>-252.45</v>
      </c>
      <c r="E84">
        <v>-488.83</v>
      </c>
      <c r="F84">
        <v>-242</v>
      </c>
      <c r="G84">
        <v>-1234</v>
      </c>
      <c r="H84">
        <v>-403</v>
      </c>
      <c r="I84">
        <v>457</v>
      </c>
      <c r="J84">
        <v>-1329</v>
      </c>
      <c r="K84">
        <v>-7</v>
      </c>
    </row>
    <row r="85" spans="1:11" s="1" customFormat="1" x14ac:dyDescent="0.3">
      <c r="A85" s="6" t="s">
        <v>145</v>
      </c>
      <c r="B85">
        <v>-87.54</v>
      </c>
      <c r="C85">
        <v>593.54999999999995</v>
      </c>
      <c r="D85">
        <v>-205.95</v>
      </c>
      <c r="E85">
        <v>-42.52</v>
      </c>
      <c r="F85">
        <v>-355</v>
      </c>
      <c r="G85">
        <v>106</v>
      </c>
      <c r="H85">
        <v>38</v>
      </c>
      <c r="I85">
        <v>13</v>
      </c>
      <c r="J85">
        <v>177</v>
      </c>
      <c r="K85">
        <v>-2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412</v>
      </c>
      <c r="B90">
        <v>338.8</v>
      </c>
      <c r="C90">
        <v>462.75</v>
      </c>
      <c r="D90">
        <v>942.3</v>
      </c>
      <c r="E90">
        <v>1141.8499999999999</v>
      </c>
      <c r="F90">
        <v>933.7</v>
      </c>
      <c r="G90">
        <v>1558.05</v>
      </c>
      <c r="H90">
        <v>2536.15</v>
      </c>
      <c r="I90">
        <v>2514.9</v>
      </c>
      <c r="J90">
        <v>3801.8</v>
      </c>
      <c r="K90">
        <v>3063.35</v>
      </c>
    </row>
    <row r="92" spans="1:11" s="1" customFormat="1" x14ac:dyDescent="0.3">
      <c r="A92" s="1" t="s">
        <v>413</v>
      </c>
    </row>
    <row r="93" spans="1:11" x14ac:dyDescent="0.3">
      <c r="A93" s="4" t="s">
        <v>414</v>
      </c>
      <c r="B93" s="20">
        <v>88.78</v>
      </c>
      <c r="C93" s="20">
        <v>88.78</v>
      </c>
      <c r="D93" s="20">
        <v>88.78</v>
      </c>
      <c r="E93" s="20">
        <v>88.78</v>
      </c>
      <c r="F93" s="20">
        <v>88.78</v>
      </c>
      <c r="G93" s="20">
        <v>88.78</v>
      </c>
      <c r="H93" s="20">
        <v>88.78</v>
      </c>
      <c r="I93" s="20">
        <v>88.78</v>
      </c>
      <c r="J93" s="20">
        <v>88.78</v>
      </c>
      <c r="K93" s="20">
        <v>88.78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43F10E-96CB-46FA-934C-DBBE1F1416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</vt:i4>
      </vt:variant>
    </vt:vector>
  </HeadingPairs>
  <TitlesOfParts>
    <vt:vector size="28" baseType="lpstr">
      <vt:lpstr>Profit &amp; Loss</vt:lpstr>
      <vt:lpstr>Quarters</vt:lpstr>
      <vt:lpstr>Titan Beta Regression</vt:lpstr>
      <vt:lpstr>Bluestone Jewel Regression</vt:lpstr>
      <vt:lpstr>Kalyan J Regression</vt:lpstr>
      <vt:lpstr>Thangamayil J Regression</vt:lpstr>
      <vt:lpstr>P N Gadgil J Regression</vt:lpstr>
      <vt:lpstr>PC Jeweller Regression</vt:lpstr>
      <vt:lpstr>Rm</vt:lpstr>
      <vt:lpstr>Beta - Comps</vt:lpstr>
      <vt:lpstr>Financials&gt;</vt:lpstr>
      <vt:lpstr>HistoricalFS</vt:lpstr>
      <vt:lpstr>Ratio Analysis</vt:lpstr>
      <vt:lpstr>Peer Analysis</vt:lpstr>
      <vt:lpstr>Forecasting</vt:lpstr>
      <vt:lpstr>Comps_Val</vt:lpstr>
      <vt:lpstr>Comps_Data</vt:lpstr>
      <vt:lpstr>Common Size Statement</vt:lpstr>
      <vt:lpstr>DCF&gt;</vt:lpstr>
      <vt:lpstr>DCF</vt:lpstr>
      <vt:lpstr>Intrinsic Growth</vt:lpstr>
      <vt:lpstr>WACC</vt:lpstr>
      <vt:lpstr>Raw FS</vt:lpstr>
      <vt:lpstr>Balance Sheet</vt:lpstr>
      <vt:lpstr>Cash Flow</vt:lpstr>
      <vt:lpstr>Data&gt;</vt:lpstr>
      <vt:lpstr>Data Sheet</vt:lpstr>
      <vt:lpstr>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Pratyush</dc:creator>
  <cp:keywords/>
  <dc:description/>
  <cp:lastModifiedBy>Ansh Bansal</cp:lastModifiedBy>
  <cp:revision/>
  <dcterms:created xsi:type="dcterms:W3CDTF">2012-08-17T09:55:37Z</dcterms:created>
  <dcterms:modified xsi:type="dcterms:W3CDTF">2026-05-30T19:19:52Z</dcterms:modified>
  <cp:category/>
  <cp:contentStatus/>
</cp:coreProperties>
</file>